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Ky_9\SEP490\Code\Unit Test\SEP490-FitSocial\docs\"/>
    </mc:Choice>
  </mc:AlternateContent>
  <xr:revisionPtr revIDLastSave="0" documentId="8_{888DA8C6-E65D-4FC3-B201-6FDC0A103726}" xr6:coauthVersionLast="47" xr6:coauthVersionMax="47" xr10:uidLastSave="{00000000-0000-0000-0000-000000000000}"/>
  <bookViews>
    <workbookView xWindow="-108" yWindow="-108" windowWidth="23256" windowHeight="12456" activeTab="3" xr2:uid="{8275D395-5D22-4327-B395-648467F20DF4}"/>
  </bookViews>
  <sheets>
    <sheet name="Cover" sheetId="4" r:id="rId1"/>
    <sheet name="FunctionList" sheetId="5" r:id="rId2"/>
    <sheet name="Function1_Đăng nhập" sheetId="7" r:id="rId3"/>
    <sheet name="ViewOwnProfile" sheetId="13" r:id="rId4"/>
    <sheet name="Example" sheetId="12" r:id="rId5"/>
  </sheets>
  <definedNames>
    <definedName name="ACTION">#REF!</definedName>
    <definedName name="_xlnm.Print_Area" localSheetId="2">'Function1_Đăng nhập'!$A$1:$T$56</definedName>
    <definedName name="_xlnm.Print_Area" localSheetId="1">FunctionList!$A$1:$H$39</definedName>
    <definedName name="Z_2C0D9096_8D85_462A_A9B5_0B488ADB4269_.wvu.Cols" localSheetId="2" hidden="1">'Function1_Đăng nhập'!$E:$E</definedName>
    <definedName name="Z_6F1DCD5D_5DAC_4817_BF40_2B66F6F593E6_.wvu.Cols" localSheetId="2" hidden="1">'Function1_Đăng nhập'!$E:$E</definedName>
    <definedName name="Z_BE54E0AD_3725_4423_92D7_4F1C045BE1BC_.wvu.Cols" localSheetId="2" hidden="1">'Function1_Đăng nhập'!$E:$E</definedName>
  </definedNames>
  <calcPr calcId="191029" fullCalcOnLoad="1"/>
</workbook>
</file>

<file path=xl/calcChain.xml><?xml version="1.0" encoding="utf-8"?>
<calcChain xmlns="http://schemas.openxmlformats.org/spreadsheetml/2006/main">
  <c r="N7" i="13" l="1"/>
  <c r="M7" i="13"/>
  <c r="L7" i="13"/>
  <c r="F7" i="13"/>
  <c r="C7" i="13"/>
  <c r="A7" i="13"/>
  <c r="L4" i="13"/>
  <c r="O7" i="13"/>
  <c r="C2" i="12"/>
  <c r="L2" i="12"/>
  <c r="L4" i="12"/>
  <c r="A7" i="12"/>
  <c r="C7" i="12"/>
  <c r="F7" i="12"/>
  <c r="L7" i="12"/>
  <c r="M7" i="12"/>
  <c r="N7" i="12"/>
  <c r="O7" i="12"/>
  <c r="C2" i="7"/>
  <c r="L2" i="7"/>
  <c r="A7" i="7"/>
  <c r="C7" i="7"/>
  <c r="L7" i="7"/>
  <c r="M7" i="7"/>
  <c r="N7" i="7"/>
  <c r="O7" i="7"/>
  <c r="F7" i="7"/>
  <c r="L4" i="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D11" authorId="0" shapeId="0" xr:uid="{59C5376E-A7F6-4916-BFC3-3802827768EF}">
      <text>
        <r>
          <rPr>
            <b/>
            <sz val="8"/>
            <color indexed="8"/>
            <rFont val="Tahoma"/>
            <family val="2"/>
          </rPr>
          <t>*A</t>
        </r>
        <r>
          <rPr>
            <sz val="8"/>
            <color indexed="8"/>
            <rFont val="Tahoma"/>
            <family val="2"/>
          </rPr>
          <t xml:space="preserve">: Add
</t>
        </r>
        <r>
          <rPr>
            <sz val="8"/>
            <color indexed="8"/>
            <rFont val="Tahoma"/>
            <family val="2"/>
          </rPr>
          <t xml:space="preserve">  </t>
        </r>
        <r>
          <rPr>
            <b/>
            <sz val="8"/>
            <color indexed="8"/>
            <rFont val="Tahoma"/>
            <family val="2"/>
          </rPr>
          <t>M</t>
        </r>
        <r>
          <rPr>
            <sz val="8"/>
            <color indexed="8"/>
            <rFont val="Tahoma"/>
            <family val="2"/>
          </rPr>
          <t xml:space="preserve">: Modify
</t>
        </r>
        <r>
          <rPr>
            <sz val="8"/>
            <color indexed="8"/>
            <rFont val="Tahoma"/>
            <family val="2"/>
          </rPr>
          <t xml:space="preserve">  </t>
        </r>
        <r>
          <rPr>
            <b/>
            <sz val="8"/>
            <color indexed="8"/>
            <rFont val="Tahoma"/>
            <family val="2"/>
          </rPr>
          <t>D</t>
        </r>
        <r>
          <rPr>
            <sz val="8"/>
            <color indexed="8"/>
            <rFont val="Tahoma"/>
            <family val="2"/>
          </rPr>
          <t xml:space="preserve">: Delete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Nguyen Hoang Anh</author>
    <author>ANa</author>
  </authors>
  <commentList>
    <comment ref="A5" authorId="0" shapeId="0" xr:uid="{F173E8F4-D3DB-4DF3-B028-837AB2B80F17}">
      <text>
        <r>
          <rPr>
            <sz val="8"/>
            <color indexed="81"/>
            <rFont val="Tahoma"/>
            <family val="2"/>
          </rPr>
          <t xml:space="preserve">Not mandatory
</t>
        </r>
      </text>
    </comment>
    <comment ref="C10" authorId="1" shapeId="0" xr:uid="{077F999C-7555-42ED-A3DA-D8A198AFA62E}">
      <text>
        <r>
          <rPr>
            <sz val="8"/>
            <color indexed="8"/>
            <rFont val="Tahoma"/>
            <family val="2"/>
          </rPr>
          <t>Not mandatory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Nguyen Hoang Anh</author>
    <author>ANa</author>
  </authors>
  <commentList>
    <comment ref="A5" authorId="0" shapeId="0" xr:uid="{D708393E-CB52-4431-BB98-01E1F61E2DF5}">
      <text>
        <r>
          <rPr>
            <sz val="8"/>
            <color indexed="81"/>
            <rFont val="Tahoma"/>
            <family val="2"/>
          </rPr>
          <t xml:space="preserve">Not mandatory
</t>
        </r>
      </text>
    </comment>
    <comment ref="C10" authorId="1" shapeId="0" xr:uid="{21BBE15C-94B5-4CCF-BA35-6440ED2D8F6D}">
      <text>
        <r>
          <rPr>
            <sz val="8"/>
            <color indexed="81"/>
            <rFont val="Tahoma"/>
            <family val="2"/>
          </rPr>
          <t xml:space="preserve">
Not mandatory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Nguyen Hoang Anh</author>
    <author>ANa</author>
  </authors>
  <commentList>
    <comment ref="A5" authorId="0" shapeId="0" xr:uid="{1003631B-926B-4CA2-AF5D-380A585C7728}">
      <text>
        <r>
          <rPr>
            <sz val="8"/>
            <color indexed="81"/>
            <rFont val="Tahoma"/>
            <family val="2"/>
          </rPr>
          <t xml:space="preserve">Not mandatory
</t>
        </r>
      </text>
    </comment>
    <comment ref="C10" authorId="1" shapeId="0" xr:uid="{81430893-F979-44F6-B1FE-282D18666D4B}">
      <text>
        <r>
          <rPr>
            <sz val="8"/>
            <color indexed="81"/>
            <rFont val="Tahoma"/>
            <family val="2"/>
          </rPr>
          <t xml:space="preserve">
Not mandatory</t>
        </r>
      </text>
    </comment>
  </commentList>
</comments>
</file>

<file path=xl/sharedStrings.xml><?xml version="1.0" encoding="utf-8"?>
<sst xmlns="http://schemas.openxmlformats.org/spreadsheetml/2006/main" count="580" uniqueCount="281">
  <si>
    <t>UNIT TEST CASE</t>
  </si>
  <si>
    <t>Project Name</t>
  </si>
  <si>
    <t>Creator</t>
  </si>
  <si>
    <t>Project Code</t>
  </si>
  <si>
    <t>Reviewer/Approver</t>
  </si>
  <si>
    <t>Document Code</t>
  </si>
  <si>
    <t>Issue Date</t>
  </si>
  <si>
    <t>Version</t>
  </si>
  <si>
    <t>Record of change</t>
  </si>
  <si>
    <t>Effective Date</t>
  </si>
  <si>
    <t>Change Item</t>
  </si>
  <si>
    <t>*A,D,M</t>
  </si>
  <si>
    <t>Change description</t>
  </si>
  <si>
    <t>Reference</t>
  </si>
  <si>
    <t>UNIT TEST CASE LIST</t>
  </si>
  <si>
    <t>Test Environment Setup Description</t>
  </si>
  <si>
    <t>No</t>
  </si>
  <si>
    <t>Requirement
Name</t>
  </si>
  <si>
    <t>Class Name</t>
  </si>
  <si>
    <t>Function Name</t>
  </si>
  <si>
    <t>Sheet Name</t>
  </si>
  <si>
    <t>Description</t>
  </si>
  <si>
    <t>Pre-Condition</t>
  </si>
  <si>
    <t>Class1</t>
  </si>
  <si>
    <t>Function A</t>
  </si>
  <si>
    <t>Function B</t>
  </si>
  <si>
    <t>Function2</t>
  </si>
  <si>
    <t>Passed</t>
  </si>
  <si>
    <t>Failed</t>
  </si>
  <si>
    <t>Untested</t>
  </si>
  <si>
    <t>Total Test Cases</t>
  </si>
  <si>
    <t>&lt;Developer Name&gt;</t>
  </si>
  <si>
    <t>UTCID01</t>
  </si>
  <si>
    <t>UTCID02</t>
  </si>
  <si>
    <t>UTCID03</t>
  </si>
  <si>
    <t>UTCID04</t>
  </si>
  <si>
    <t>UTCID05</t>
  </si>
  <si>
    <t>UTCID06</t>
  </si>
  <si>
    <t>UTCID07</t>
  </si>
  <si>
    <t>UTCID08</t>
  </si>
  <si>
    <t>UTCID09</t>
  </si>
  <si>
    <t>UTCID10</t>
  </si>
  <si>
    <t>UTCID11</t>
  </si>
  <si>
    <t>UTCID12</t>
  </si>
  <si>
    <t>UTCID13</t>
  </si>
  <si>
    <t>UTCID14</t>
  </si>
  <si>
    <t>UTCID15</t>
  </si>
  <si>
    <t>Can connect with server</t>
  </si>
  <si>
    <t>""</t>
  </si>
  <si>
    <t>Result</t>
  </si>
  <si>
    <t>Type(N : Normal, A : Abnormal, B : Boundary)</t>
  </si>
  <si>
    <t>N</t>
  </si>
  <si>
    <t>B</t>
  </si>
  <si>
    <t>A</t>
  </si>
  <si>
    <t>Passed/Failed</t>
  </si>
  <si>
    <t>P</t>
  </si>
  <si>
    <t>F</t>
  </si>
  <si>
    <t>Executed Date</t>
  </si>
  <si>
    <t>Defect ID</t>
  </si>
  <si>
    <t>DFID002</t>
  </si>
  <si>
    <t>DFID004</t>
  </si>
  <si>
    <t>DFID005</t>
  </si>
  <si>
    <t>DFID006</t>
  </si>
  <si>
    <t>DFID007</t>
  </si>
  <si>
    <t>DFID008</t>
  </si>
  <si>
    <t>DFID009</t>
  </si>
  <si>
    <t>DFID010</t>
  </si>
  <si>
    <t>DFID011</t>
  </si>
  <si>
    <t>DFID012</t>
  </si>
  <si>
    <t xml:space="preserve">Precondition </t>
    <phoneticPr fontId="31" type="noConversion"/>
  </si>
  <si>
    <t>Return</t>
    <phoneticPr fontId="31" type="noConversion"/>
  </si>
  <si>
    <t>Exception</t>
    <phoneticPr fontId="31" type="noConversion"/>
  </si>
  <si>
    <t>Log message</t>
    <phoneticPr fontId="31" type="noConversion"/>
  </si>
  <si>
    <t>&lt;Brief description about requirements which are tested in this function&gt;</t>
  </si>
  <si>
    <t>Function Code</t>
  </si>
  <si>
    <t>Created By</t>
  </si>
  <si>
    <t>Executed By</t>
  </si>
  <si>
    <t>Lines  of code</t>
  </si>
  <si>
    <t>Lack of test cases</t>
  </si>
  <si>
    <t>Test requirement</t>
  </si>
  <si>
    <t>N/A/B</t>
  </si>
  <si>
    <t>Condition</t>
  </si>
  <si>
    <t xml:space="preserve">Precondition </t>
  </si>
  <si>
    <t>Confirm</t>
  </si>
  <si>
    <t>Return</t>
  </si>
  <si>
    <t>Exception</t>
  </si>
  <si>
    <t>Class2</t>
  </si>
  <si>
    <t>Class3</t>
  </si>
  <si>
    <t>Function C</t>
  </si>
  <si>
    <t>Function3</t>
  </si>
  <si>
    <t xml:space="preserve">Normal number of Test cases/KLOC </t>
  </si>
  <si>
    <t>a</t>
    <phoneticPr fontId="31" type="noConversion"/>
  </si>
  <si>
    <t>b</t>
    <phoneticPr fontId="31" type="noConversion"/>
  </si>
  <si>
    <t>c</t>
    <phoneticPr fontId="40"/>
  </si>
  <si>
    <t xml:space="preserve">list </t>
    <phoneticPr fontId="40"/>
  </si>
  <si>
    <t>null</t>
    <phoneticPr fontId="40"/>
  </si>
  <si>
    <t>size = 0</t>
    <phoneticPr fontId="40"/>
  </si>
  <si>
    <t>O</t>
  </si>
  <si>
    <t>"please input a&gt;= -1"</t>
    <phoneticPr fontId="40"/>
  </si>
  <si>
    <t>{-1/2}</t>
    <phoneticPr fontId="40"/>
  </si>
  <si>
    <t>{1,1}</t>
    <phoneticPr fontId="40"/>
  </si>
  <si>
    <t>{1,-3}</t>
    <phoneticPr fontId="40"/>
  </si>
  <si>
    <t xml:space="preserve"> Function Code(Optional)</t>
  </si>
  <si>
    <t>T</t>
  </si>
  <si>
    <t>abc</t>
  </si>
  <si>
    <t>1</t>
  </si>
  <si>
    <t>Nguoi dung phai co account</t>
  </si>
  <si>
    <t>Pre 1</t>
  </si>
  <si>
    <t>Pre 2</t>
  </si>
  <si>
    <t>Username</t>
  </si>
  <si>
    <t>nguyenvana</t>
  </si>
  <si>
    <t>a</t>
  </si>
  <si>
    <t>nguyen van</t>
  </si>
  <si>
    <t>nguyenvan@</t>
  </si>
  <si>
    <t>Password</t>
  </si>
  <si>
    <t>Admin@123</t>
  </si>
  <si>
    <t>22/10/2026</t>
  </si>
  <si>
    <t>TC01, TC02</t>
  </si>
  <si>
    <t>Mô tả thay đổi cái gì…</t>
  </si>
  <si>
    <t>Có tham chiếu tài liệu nào ko? Có thì liệt kê ra, ko thì bỏ trống</t>
  </si>
  <si>
    <t>21/10/2026</t>
  </si>
  <si>
    <t>1.1</t>
  </si>
  <si>
    <t>TC02, TC03</t>
  </si>
  <si>
    <t>M, A</t>
  </si>
  <si>
    <t>Chỉnh sửa TC02. Thêm mới TC03</t>
  </si>
  <si>
    <t>…</t>
  </si>
  <si>
    <t>Function1_Đăng Nhập</t>
  </si>
  <si>
    <t>AuthLogin</t>
  </si>
  <si>
    <t>Tên hàm trong code</t>
  </si>
  <si>
    <t>Tên của sheet</t>
  </si>
  <si>
    <t>Nhập số từ 5 - 20</t>
  </si>
  <si>
    <t>Normal: 6-19</t>
  </si>
  <si>
    <t>Boundary: 5,20</t>
  </si>
  <si>
    <t>Abnormal: &lt;5;&gt;20</t>
  </si>
  <si>
    <t>FitSocial (SEP490 - Capstone Project)</t>
  </si>
  <si>
    <t>SEP490_FitSocial</t>
  </si>
  <si>
    <t>SEP490_FitSocial_UT_v1.0</t>
  </si>
  <si>
    <t>31/10/2026</t>
  </si>
  <si>
    <t>SEP490 Team</t>
  </si>
  <si>
    <t>Lead Reviewer</t>
  </si>
  <si>
    <t>1.2</t>
  </si>
  <si>
    <t>UTCID01 - UTCID16</t>
  </si>
  <si>
    <t>Add Unit Test cases for View Own Profile (GetOwnProfileAsync).</t>
  </si>
  <si>
    <t>UserService.cs</t>
  </si>
  <si>
    <t>.NET 8.0 SDK, xUnit 2.9.3, Moq 4.21.0, Coverlet.collector 6.0.4, Visual Studio 2022 / VS Code, Windows 11</t>
  </si>
  <si>
    <t>View Own Profile</t>
  </si>
  <si>
    <t>UserService</t>
  </si>
  <si>
    <t>GetOwnProfileAsync</t>
  </si>
  <si>
    <t>UC05_GetOwnProfile</t>
  </si>
  <si>
    <t>ViewOwnProfile</t>
  </si>
  <si>
    <t>Retrieves the profile information of the currently authenticated Trainee or Coach user, including personal profile attributes and coach certificate status.</t>
  </si>
  <si>
    <t>User is authenticated with a valid userId and the account is not locked.</t>
  </si>
  <si>
    <t>Antigravity Pair Programmer</t>
  </si>
  <si>
    <t>QA / Antigravity</t>
  </si>
  <si>
    <t>Retrieves current authenticated user's own profile for Trainees and Coaches, enforcing account lock checks, normalizing roles, and computing coach certificate expirations.</t>
  </si>
  <si>
    <t>N / A / B</t>
  </si>
  <si>
    <t>UTCID16</t>
  </si>
  <si>
    <t>Precondition</t>
  </si>
  <si>
    <t>User Exists in Database</t>
  </si>
  <si>
    <t>Account Lock Status</t>
  </si>
  <si>
    <t>User Role Code</t>
  </si>
  <si>
    <t>Coach Profile &amp; Certificates</t>
  </si>
  <si>
    <t>CoachProfileCoach = null</t>
  </si>
  <si>
    <t>User FullName Attribute</t>
  </si>
  <si>
    <t>Repository &amp; Cancellation Behavior</t>
  </si>
  <si>
    <t>Return CoachProfileDto with Success=true</t>
  </si>
  <si>
    <t>Return TraineeProfileDto with Success=true</t>
  </si>
  <si>
    <t>NotFoundException (User profile could not be found.)</t>
  </si>
  <si>
    <t>E</t>
  </si>
  <si>
    <t>ForbiddenException (Account locked)</t>
  </si>
  <si>
    <t>InvalidOperationException (DB connection error)</t>
  </si>
  <si>
    <t>OperationCanceledException</t>
  </si>
  <si>
    <t>Detailed Test Case Description</t>
  </si>
  <si>
    <t>UTCID</t>
  </si>
  <si>
    <t>Test Case Name</t>
  </si>
  <si>
    <t>Test Type</t>
  </si>
  <si>
    <t>Test Data</t>
  </si>
  <si>
    <t>Expected Result</t>
  </si>
  <si>
    <t>Actual Result</t>
  </si>
  <si>
    <t>Status</t>
  </si>
  <si>
    <t>GetOwnProfileAsync_WhenCoachWithBothValidAndExpiredCertificates_ReturnsCoachProfileDtoWithValidCertificatesOnly</t>
  </si>
  <si>
    <t>Normal</t>
  </si>
  <si>
    <t>Coach account exists, active and not locked</t>
  </si>
  <si>
    <t>userId = Guid; Coach with 1 valid cert and 1 expired cert</t>
  </si>
  <si>
    <t>Returns CoachProfileDto, HasExpiredCertificates=true, HasValidCertificates=true, Certificates list contains 1 valid certificate</t>
  </si>
  <si>
    <t>As expected. Returned CoachProfileDto with 1 valid cert</t>
  </si>
  <si>
    <t>GetOwnProfileAsync_WhenTrainee_ReturnsTraineeProfileDtoSuccessfully</t>
  </si>
  <si>
    <t>Trainee account exists and active</t>
  </si>
  <si>
    <t>userId = Guid; FullName='Jane Smith', Role='TRAINEE'</t>
  </si>
  <si>
    <t>Returns TraineeProfileDto, Success=true, Role='TRAINEE', matching personal fields</t>
  </si>
  <si>
    <t>As expected. Returned TraineeProfileDto successfully</t>
  </si>
  <si>
    <t>GetOwnProfileAsync_WhenCoachWithOnlyValidCertificates_ReturnsValidCertificatesAndHasExpiredFalse</t>
  </si>
  <si>
    <t>Coach account exists with unexpired certificates</t>
  </si>
  <si>
    <t>userId = Guid; Coach with 1 approved certificate expiring next year</t>
  </si>
  <si>
    <t>Returns CoachProfileDto, HasExpiredCertificates=false, HasValidCertificates=true, Certificates count=1</t>
  </si>
  <si>
    <t>As expected. Returned CoachProfileDto with HasExpired=false</t>
  </si>
  <si>
    <t>GetOwnProfileAsync_WhenUserNotFound_ThrowsNotFoundException</t>
  </si>
  <si>
    <t>Abnormal</t>
  </si>
  <si>
    <t>Target userId does not exist in repository</t>
  </si>
  <si>
    <t>userId = random Guid; Repo returns null</t>
  </si>
  <si>
    <t>Throws NotFoundException with message 'User profile could not be found.'</t>
  </si>
  <si>
    <t>As expected. Threw NotFoundException with exact message</t>
  </si>
  <si>
    <t>GetOwnProfileAsync_WhenUserIsLocked_ThrowsForbiddenException</t>
  </si>
  <si>
    <t>User exists but account status IsLocked = true</t>
  </si>
  <si>
    <t>userId = Guid; User.IsLocked = true</t>
  </si>
  <si>
    <t>Throws ForbiddenException with message 'This account has been locked. Please contact support.'</t>
  </si>
  <si>
    <t>As expected. Threw ForbiddenException with exact message</t>
  </si>
  <si>
    <t>GetOwnProfileAsync_WhenRepositoryThrowsException_PropagatesException</t>
  </si>
  <si>
    <t>Underlying repository encounters database fault</t>
  </si>
  <si>
    <t>userId = Guid; Repo throws InvalidOperationException('Database connection failure')</t>
  </si>
  <si>
    <t>Propagates InvalidOperationException to caller</t>
  </si>
  <si>
    <t>As expected. Propagated InvalidOperationException</t>
  </si>
  <si>
    <t>GetOwnProfileAsync_WhenCancellationTokenCancelled_ThrowsOperationCanceledException</t>
  </si>
  <si>
    <t>CancellationToken is cancelled before completion</t>
  </si>
  <si>
    <t>userId = Guid; CancellationTokenSource.Cancel()</t>
  </si>
  <si>
    <t>Throws OperationCanceledException and honors cancellation token</t>
  </si>
  <si>
    <t>As expected. Threw OperationCanceledException</t>
  </si>
  <si>
    <t>GetOwnProfileAsync_WhenCoachProfileIsNull_ReturnsCoachDtoWithDefaultValues</t>
  </si>
  <si>
    <t>Boundary</t>
  </si>
  <si>
    <t>Coach user exists but CoachProfileCoach entity relation is null</t>
  </si>
  <si>
    <t>userId = Guid; Role='COACH', CoachProfileCoach = null</t>
  </si>
  <si>
    <t>Returns CoachProfileDto with Bio=null, ExperienceYears=null, ApprovalStatus='PENDING', Certificates empty</t>
  </si>
  <si>
    <t>As expected. Returned default CoachProfileDto values</t>
  </si>
  <si>
    <t>GetOwnProfileAsync_WhenCoachCertificatesListIsEmpty_ReturnsEmptyCertificates</t>
  </si>
  <si>
    <t>Coach profile has empty certificates collection</t>
  </si>
  <si>
    <t>userId = Guid; CoachCertificates count = 0</t>
  </si>
  <si>
    <t>Returns CoachProfileDto with Certificates empty, HasExpired=false, HasValid=false</t>
  </si>
  <si>
    <t>As expected. Returned empty certificates collection</t>
  </si>
  <si>
    <t>GetOwnProfileAsync_WhenCoachCertificatesAreAllExpired_ReturnsHasExpiredTrueAndEmptyCertificates</t>
  </si>
  <si>
    <t>All certificates of the coach have ExpiryDate in past</t>
  </si>
  <si>
    <t>userId = Guid; 1 cert with ExpiryDate = yesterday</t>
  </si>
  <si>
    <t>Returns CoachProfileDto, HasExpiredCertificates=true, HasValidCertificates=false, Certificates count=0</t>
  </si>
  <si>
    <t>As expected. Returned empty valid certs list and HasExpired=true</t>
  </si>
  <si>
    <t>GetOwnProfileAsync_WhenCoachCertificatesNotApproved_ReturnsHasValidFalse</t>
  </si>
  <si>
    <t>Coach certificate has VerificationStatus = 'PENDING'</t>
  </si>
  <si>
    <t>userId = Guid; 1 unexpired cert with Status='PENDING'</t>
  </si>
  <si>
    <t>Returns CoachProfileDto, HasValidCertificates=false, Certificates count=0</t>
  </si>
  <si>
    <t>As expected. Returned HasValidCertificates=false and empty certs</t>
  </si>
  <si>
    <t>GetOwnProfileAsync_WhenUserFullNameIsNull_ReturnsEmptyStringForFullName</t>
  </si>
  <si>
    <t>User entity has FullName = null in database</t>
  </si>
  <si>
    <t>userId = Guid; User.FullName = null</t>
  </si>
  <si>
    <t>Returns profile DTO with FullName set to string.Empty instead of null</t>
  </si>
  <si>
    <t>As expected. FullName mapped to empty string</t>
  </si>
  <si>
    <t>GetOwnProfileAsync_WhenRoleCodeIsNull_DefaultsToTraineeRole</t>
  </si>
  <si>
    <t>User entity has RoleCode = null in database</t>
  </si>
  <si>
    <t>userId = Guid; User.RoleCode = null</t>
  </si>
  <si>
    <t>Defaults role to 'TRAINEE' and returns TraineeProfileDto</t>
  </si>
  <si>
    <t>As expected. Mapped to TRAINEE profile DTO</t>
  </si>
  <si>
    <t>GetOwnProfileAsync_WhenUserHasCustomRole_ReturnsTraineeDtoWithSpecifiedRole</t>
  </si>
  <si>
    <t>User entity has non-coach role (e.g. 'STAFF')</t>
  </si>
  <si>
    <t>Returns TraineeProfileDto with Role='STAFF'</t>
  </si>
  <si>
    <t>As expected. Returned TraineeProfileDto preserving role string</t>
  </si>
  <si>
    <t>GetOwnProfileAsync_WhenIsLockedIsNull_ReturnsProfileSuccessfully</t>
  </si>
  <si>
    <t>User entity has IsLocked = null</t>
  </si>
  <si>
    <t>userId = Guid; User.IsLocked = null</t>
  </si>
  <si>
    <t>Does not trigger forbidden check; returns profile successfully</t>
  </si>
  <si>
    <t>As expected. Profile retrieved successfully</t>
  </si>
  <si>
    <t>GetOwnProfileAsync_WhenRoleCodeHasWhitespaceOrLowerCase_NormalizesRoleCorrectly</t>
  </si>
  <si>
    <t>RoleCode contains lowercase characters and surrounding whitespace</t>
  </si>
  <si>
    <t>Normalizes to 'COACH' and returns CoachProfileDto</t>
  </si>
  <si>
    <t>As expected. Correctly normalized and returned CoachProfileDto</t>
  </si>
  <si>
    <t>RoleCode = "COACH"</t>
  </si>
  <si>
    <t>RoleCode = "TRAINEE"</t>
  </si>
  <si>
    <t>RoleCode = null</t>
  </si>
  <si>
    <t>RoleCode = "STAFF"</t>
  </si>
  <si>
    <t>RoleCode = "  coach  "</t>
  </si>
  <si>
    <t>user != null (User found)</t>
  </si>
  <si>
    <t>user == null (Not found)</t>
  </si>
  <si>
    <t>IsLocked = false</t>
  </si>
  <si>
    <t>IsLocked = true</t>
  </si>
  <si>
    <t>IsLocked = null</t>
  </si>
  <si>
    <t>CoachCertificates = [Valid("APPROVED", Expiry &gt; today), Expired("APPROVED", Expiry &lt; today)]</t>
  </si>
  <si>
    <t>CoachCertificates = [Valid("APPROVED", Expiry &gt; today)]</t>
  </si>
  <si>
    <t>CoachCertificates = [] (Count = 0)</t>
  </si>
  <si>
    <t>CoachCertificates = [Expired("APPROVED", Expiry &lt; today)]</t>
  </si>
  <si>
    <t>CoachCertificates = [Pending("PENDING", Expiry &gt; today)]</t>
  </si>
  <si>
    <t>FullName = null</t>
  </si>
  <si>
    <t>Repo throws InvalidOperationException("Database connection failure")</t>
  </si>
  <si>
    <t>CancellationToken.IsCancellationRequested = true</t>
  </si>
  <si>
    <t>userId = Guid; User.RoleCode = "STAFF"</t>
  </si>
  <si>
    <t>userId = Guid; User.RoleCode = "  coach  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</si>
</sst>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90" formatCode="d\-mmm\-yy;@"/>
    <numFmt numFmtId="195" formatCode="mm/dd"/>
  </numFmts>
  <fonts count="49">
    <font>
      <sz val="11"/>
      <name val="ＭＳ Ｐゴシック"/>
      <family val="3"/>
      <charset val="128"/>
    </font>
    <font>
      <sz val="11"/>
      <name val="ＭＳ Ｐゴシック"/>
      <family val="3"/>
      <charset val="128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u/>
      <sz val="11"/>
      <color indexed="12"/>
      <name val="ＭＳ Ｐゴシック"/>
      <family val="3"/>
      <charset val="128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9"/>
      <name val="ＭＳ ゴシック"/>
      <family val="3"/>
      <charset val="128"/>
    </font>
    <font>
      <b/>
      <sz val="26"/>
      <color indexed="10"/>
      <name val="Tahoma"/>
      <family val="2"/>
    </font>
    <font>
      <b/>
      <sz val="20"/>
      <color indexed="8"/>
      <name val="Tahoma"/>
      <family val="2"/>
    </font>
    <font>
      <sz val="10"/>
      <name val="Tahoma"/>
      <family val="2"/>
    </font>
    <font>
      <b/>
      <sz val="10"/>
      <color indexed="60"/>
      <name val="Tahoma"/>
      <family val="2"/>
    </font>
    <font>
      <i/>
      <sz val="10"/>
      <color indexed="17"/>
      <name val="Tahoma"/>
      <family val="2"/>
    </font>
    <font>
      <b/>
      <sz val="10"/>
      <color indexed="9"/>
      <name val="Tahoma"/>
      <family val="2"/>
    </font>
    <font>
      <b/>
      <sz val="10"/>
      <color indexed="8"/>
      <name val="Tahoma"/>
      <family val="2"/>
    </font>
    <font>
      <b/>
      <sz val="10"/>
      <color indexed="10"/>
      <name val="Tahoma"/>
      <family val="2"/>
    </font>
    <font>
      <b/>
      <sz val="10"/>
      <name val="Tahoma"/>
      <family val="2"/>
    </font>
    <font>
      <u/>
      <sz val="10"/>
      <color indexed="12"/>
      <name val="Tahoma"/>
      <family val="2"/>
    </font>
    <font>
      <sz val="8"/>
      <name val="ＭＳ Ｐゴシック"/>
      <family val="3"/>
      <charset val="128"/>
    </font>
    <font>
      <sz val="8"/>
      <name val="Tahoma"/>
      <family val="2"/>
    </font>
    <font>
      <b/>
      <sz val="8"/>
      <name val="Tahoma"/>
      <family val="2"/>
    </font>
    <font>
      <sz val="8"/>
      <color indexed="17"/>
      <name val="Tahoma"/>
      <family val="2"/>
    </font>
    <font>
      <i/>
      <sz val="8"/>
      <name val="Tahoma"/>
      <family val="2"/>
    </font>
    <font>
      <b/>
      <sz val="12"/>
      <name val="Courier New"/>
      <family val="3"/>
    </font>
    <font>
      <b/>
      <sz val="8"/>
      <name val="Courier New"/>
      <family val="3"/>
    </font>
    <font>
      <sz val="8"/>
      <name val="Courier New"/>
      <family val="3"/>
    </font>
    <font>
      <sz val="8"/>
      <color indexed="81"/>
      <name val="Tahoma"/>
      <family val="2"/>
    </font>
    <font>
      <sz val="6"/>
      <name val="ＭＳ Ｐゴシック"/>
      <family val="3"/>
      <charset val="128"/>
    </font>
    <font>
      <i/>
      <sz val="10"/>
      <name val="Tahoma"/>
      <family val="2"/>
    </font>
    <font>
      <sz val="11"/>
      <name val="Tahoma"/>
      <family val="2"/>
    </font>
    <font>
      <b/>
      <sz val="12"/>
      <name val="Tahoma"/>
      <family val="2"/>
    </font>
    <font>
      <b/>
      <sz val="8"/>
      <color indexed="9"/>
      <name val="Tahoma"/>
      <family val="2"/>
    </font>
    <font>
      <sz val="8"/>
      <color indexed="9"/>
      <name val="Tahoma"/>
      <family val="2"/>
    </font>
    <font>
      <b/>
      <sz val="8"/>
      <color indexed="8"/>
      <name val="Tahoma"/>
      <family val="2"/>
    </font>
    <font>
      <sz val="8"/>
      <color indexed="8"/>
      <name val="Tahoma"/>
      <family val="2"/>
    </font>
    <font>
      <b/>
      <sz val="8"/>
      <color rgb="FFFF0000"/>
      <name val="Tahoma"/>
      <family val="2"/>
    </font>
  </fonts>
  <fills count="30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9"/>
        <bgColor indexed="26"/>
      </patternFill>
    </fill>
    <fill>
      <patternFill patternType="solid">
        <fgColor indexed="18"/>
        <bgColor indexed="32"/>
      </patternFill>
    </fill>
    <fill>
      <patternFill patternType="solid">
        <fgColor indexed="62"/>
        <bgColor indexed="56"/>
      </patternFill>
    </fill>
    <fill>
      <patternFill patternType="solid">
        <fgColor indexed="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18"/>
        <bgColor indexed="64"/>
      </patternFill>
    </fill>
  </fills>
  <borders count="88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hair">
        <color indexed="8"/>
      </right>
      <top style="thin">
        <color indexed="8"/>
      </top>
      <bottom style="hair">
        <color indexed="8"/>
      </bottom>
      <diagonal/>
    </border>
    <border>
      <left style="hair">
        <color indexed="8"/>
      </left>
      <right style="hair">
        <color indexed="8"/>
      </right>
      <top style="thin">
        <color indexed="8"/>
      </top>
      <bottom style="hair">
        <color indexed="8"/>
      </bottom>
      <diagonal/>
    </border>
    <border>
      <left style="hair">
        <color indexed="8"/>
      </left>
      <right style="thin">
        <color indexed="8"/>
      </right>
      <top style="thin">
        <color indexed="8"/>
      </top>
      <bottom style="hair">
        <color indexed="8"/>
      </bottom>
      <diagonal/>
    </border>
    <border>
      <left style="hair">
        <color indexed="8"/>
      </left>
      <right style="hair">
        <color indexed="8"/>
      </right>
      <top style="hair">
        <color indexed="8"/>
      </top>
      <bottom style="hair">
        <color indexed="8"/>
      </bottom>
      <diagonal/>
    </border>
    <border>
      <left style="thin">
        <color indexed="8"/>
      </left>
      <right style="hair">
        <color indexed="8"/>
      </right>
      <top style="hair">
        <color indexed="8"/>
      </top>
      <bottom style="hair">
        <color indexed="8"/>
      </bottom>
      <diagonal/>
    </border>
    <border>
      <left style="hair">
        <color indexed="8"/>
      </left>
      <right style="thin">
        <color indexed="8"/>
      </right>
      <top style="hair">
        <color indexed="8"/>
      </top>
      <bottom style="hair">
        <color indexed="8"/>
      </bottom>
      <diagonal/>
    </border>
    <border>
      <left style="thin">
        <color indexed="8"/>
      </left>
      <right style="hair">
        <color indexed="8"/>
      </right>
      <top style="hair">
        <color indexed="8"/>
      </top>
      <bottom style="thin">
        <color indexed="8"/>
      </bottom>
      <diagonal/>
    </border>
    <border>
      <left style="hair">
        <color indexed="8"/>
      </left>
      <right style="hair">
        <color indexed="8"/>
      </right>
      <top style="hair">
        <color indexed="8"/>
      </top>
      <bottom style="thin">
        <color indexed="8"/>
      </bottom>
      <diagonal/>
    </border>
    <border>
      <left style="hair">
        <color indexed="8"/>
      </left>
      <right style="thin">
        <color indexed="8"/>
      </right>
      <top style="hair">
        <color indexed="8"/>
      </top>
      <bottom style="thin">
        <color indexed="8"/>
      </bottom>
      <diagonal/>
    </border>
    <border>
      <left/>
      <right style="hair">
        <color indexed="8"/>
      </right>
      <top style="thin">
        <color indexed="8"/>
      </top>
      <bottom style="hair">
        <color indexed="8"/>
      </bottom>
      <diagonal/>
    </border>
    <border>
      <left style="hair">
        <color indexed="8"/>
      </left>
      <right/>
      <top style="thin">
        <color indexed="8"/>
      </top>
      <bottom style="hair">
        <color indexed="8"/>
      </bottom>
      <diagonal/>
    </border>
    <border>
      <left/>
      <right style="hair">
        <color indexed="8"/>
      </right>
      <top style="hair">
        <color indexed="8"/>
      </top>
      <bottom style="hair">
        <color indexed="8"/>
      </bottom>
      <diagonal/>
    </border>
    <border>
      <left/>
      <right style="hair">
        <color indexed="8"/>
      </right>
      <top style="hair">
        <color indexed="8"/>
      </top>
      <bottom style="thin">
        <color indexed="8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medium">
        <color indexed="8"/>
      </right>
      <top/>
      <bottom style="thin">
        <color indexed="8"/>
      </bottom>
      <diagonal/>
    </border>
    <border>
      <left style="thin">
        <color indexed="64"/>
      </left>
      <right/>
      <top style="thin">
        <color indexed="8"/>
      </top>
      <bottom style="medium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9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 style="double">
        <color indexed="64"/>
      </left>
      <right style="thin">
        <color indexed="64"/>
      </right>
      <top/>
      <bottom style="double">
        <color indexed="64"/>
      </bottom>
      <diagonal/>
    </border>
    <border>
      <left style="double">
        <color indexed="64"/>
      </left>
      <right style="hair">
        <color indexed="8"/>
      </right>
      <top style="double">
        <color indexed="64"/>
      </top>
      <bottom style="medium">
        <color indexed="9"/>
      </bottom>
      <diagonal/>
    </border>
    <border>
      <left/>
      <right/>
      <top style="double">
        <color indexed="64"/>
      </top>
      <bottom style="medium">
        <color indexed="9"/>
      </bottom>
      <diagonal/>
    </border>
    <border>
      <left/>
      <right style="double">
        <color indexed="64"/>
      </right>
      <top style="double">
        <color indexed="64"/>
      </top>
      <bottom style="medium">
        <color indexed="9"/>
      </bottom>
      <diagonal/>
    </border>
    <border>
      <left style="medium">
        <color indexed="8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8"/>
      </left>
      <right/>
      <top style="thin">
        <color indexed="8"/>
      </top>
      <bottom style="medium">
        <color indexed="8"/>
      </bottom>
      <diagonal/>
    </border>
    <border>
      <left/>
      <right/>
      <top style="thin">
        <color indexed="8"/>
      </top>
      <bottom style="medium">
        <color indexed="8"/>
      </bottom>
      <diagonal/>
    </border>
    <border>
      <left/>
      <right style="thin">
        <color indexed="64"/>
      </right>
      <top style="thin">
        <color indexed="8"/>
      </top>
      <bottom style="medium">
        <color indexed="8"/>
      </bottom>
      <diagonal/>
    </border>
    <border>
      <left/>
      <right style="thin">
        <color indexed="8"/>
      </right>
      <top style="thin">
        <color indexed="8"/>
      </top>
      <bottom style="medium">
        <color indexed="8"/>
      </bottom>
      <diagonal/>
    </border>
    <border>
      <left style="medium">
        <color indexed="8"/>
      </left>
      <right/>
      <top style="thin">
        <color indexed="8"/>
      </top>
      <bottom style="medium">
        <color indexed="8"/>
      </bottom>
      <diagonal/>
    </border>
    <border>
      <left style="medium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64"/>
      </right>
      <top/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/>
      <bottom style="thin">
        <color indexed="8"/>
      </bottom>
      <diagonal/>
    </border>
    <border>
      <left/>
      <right style="medium">
        <color indexed="64"/>
      </right>
      <top style="thin">
        <color indexed="8"/>
      </top>
      <bottom style="medium">
        <color indexed="8"/>
      </bottom>
      <diagonal/>
    </border>
    <border>
      <left style="thin">
        <color indexed="64"/>
      </left>
      <right/>
      <top style="thin">
        <color indexed="8"/>
      </top>
      <bottom style="thin">
        <color indexed="8"/>
      </bottom>
      <diagonal/>
    </border>
    <border>
      <left/>
      <right style="medium">
        <color indexed="64"/>
      </right>
      <top style="thin">
        <color indexed="8"/>
      </top>
      <bottom style="thin">
        <color indexed="8"/>
      </bottom>
      <diagonal/>
    </border>
    <border>
      <left/>
      <right style="medium">
        <color indexed="8"/>
      </right>
      <top style="medium">
        <color indexed="64"/>
      </top>
      <bottom style="thin">
        <color indexed="64"/>
      </bottom>
      <diagonal/>
    </border>
    <border>
      <left/>
      <right style="medium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64"/>
      </right>
      <top style="thin">
        <color indexed="8"/>
      </top>
      <bottom style="thin">
        <color indexed="8"/>
      </bottom>
      <diagonal/>
    </border>
  </borders>
  <cellStyleXfs count="46">
    <xf numFmtId="0" fontId="0" fillId="0" borderId="0">
      <alignment vertical="center"/>
    </xf>
    <xf numFmtId="0" fontId="2" fillId="2" borderId="0" applyNumberFormat="0" applyBorder="0" applyAlignment="0" applyProtection="0"/>
    <xf numFmtId="0" fontId="2" fillId="3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6" borderId="0" applyNumberFormat="0" applyBorder="0" applyAlignment="0" applyProtection="0"/>
    <xf numFmtId="0" fontId="2" fillId="7" borderId="0" applyNumberFormat="0" applyBorder="0" applyAlignment="0" applyProtection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5" borderId="0" applyNumberFormat="0" applyBorder="0" applyAlignment="0" applyProtection="0"/>
    <xf numFmtId="0" fontId="2" fillId="8" borderId="0" applyNumberFormat="0" applyBorder="0" applyAlignment="0" applyProtection="0"/>
    <xf numFmtId="0" fontId="2" fillId="11" borderId="0" applyNumberFormat="0" applyBorder="0" applyAlignment="0" applyProtection="0"/>
    <xf numFmtId="0" fontId="3" fillId="12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9" borderId="0" applyNumberFormat="0" applyBorder="0" applyAlignment="0" applyProtection="0"/>
    <xf numFmtId="0" fontId="4" fillId="3" borderId="0" applyNumberFormat="0" applyBorder="0" applyAlignment="0" applyProtection="0"/>
    <xf numFmtId="0" fontId="5" fillId="20" borderId="1" applyNumberFormat="0" applyAlignment="0" applyProtection="0"/>
    <xf numFmtId="0" fontId="6" fillId="21" borderId="2" applyNumberFormat="0" applyAlignment="0" applyProtection="0"/>
    <xf numFmtId="0" fontId="7" fillId="0" borderId="0" applyNumberFormat="0" applyFill="0" applyBorder="0" applyAlignment="0" applyProtection="0"/>
    <xf numFmtId="0" fontId="8" fillId="4" borderId="0" applyNumberFormat="0" applyBorder="0" applyAlignment="0" applyProtection="0"/>
    <xf numFmtId="0" fontId="9" fillId="0" borderId="3" applyNumberFormat="0" applyFill="0" applyAlignment="0" applyProtection="0"/>
    <xf numFmtId="0" fontId="10" fillId="0" borderId="4" applyNumberFormat="0" applyFill="0" applyAlignment="0" applyProtection="0"/>
    <xf numFmtId="0" fontId="11" fillId="0" borderId="5" applyNumberFormat="0" applyFill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7" borderId="1" applyNumberFormat="0" applyAlignment="0" applyProtection="0"/>
    <xf numFmtId="0" fontId="14" fillId="0" borderId="6" applyNumberFormat="0" applyFill="0" applyAlignment="0" applyProtection="0"/>
    <xf numFmtId="0" fontId="15" fillId="22" borderId="0" applyNumberFormat="0" applyBorder="0" applyAlignment="0" applyProtection="0"/>
    <xf numFmtId="0" fontId="1" fillId="0" borderId="0"/>
    <xf numFmtId="0" fontId="1" fillId="0" borderId="0"/>
    <xf numFmtId="0" fontId="1" fillId="23" borderId="7" applyNumberFormat="0" applyFont="0" applyAlignment="0" applyProtection="0"/>
    <xf numFmtId="0" fontId="16" fillId="20" borderId="8" applyNumberFormat="0" applyAlignment="0" applyProtection="0"/>
    <xf numFmtId="0" fontId="17" fillId="0" borderId="0" applyNumberFormat="0" applyFill="0" applyBorder="0" applyAlignment="0" applyProtection="0"/>
    <xf numFmtId="0" fontId="18" fillId="0" borderId="9" applyNumberFormat="0" applyFill="0" applyAlignment="0" applyProtection="0"/>
    <xf numFmtId="0" fontId="19" fillId="0" borderId="0" applyNumberFormat="0" applyFill="0" applyBorder="0" applyAlignment="0" applyProtection="0"/>
    <xf numFmtId="0" fontId="20" fillId="0" borderId="0"/>
  </cellStyleXfs>
  <cellXfs count="240">
    <xf numFmtId="0" fontId="0" fillId="0" borderId="0" xfId="0">
      <alignment vertical="center"/>
    </xf>
    <xf numFmtId="0" fontId="21" fillId="0" borderId="10" xfId="39" applyFont="1" applyBorder="1" applyAlignment="1">
      <alignment horizontal="center" vertical="center"/>
    </xf>
    <xf numFmtId="0" fontId="23" fillId="0" borderId="0" xfId="39" applyFont="1" applyAlignment="1">
      <alignment horizontal="center" vertical="center"/>
    </xf>
    <xf numFmtId="0" fontId="23" fillId="0" borderId="0" xfId="39" applyFont="1"/>
    <xf numFmtId="0" fontId="24" fillId="24" borderId="0" xfId="39" applyFont="1" applyFill="1" applyAlignment="1">
      <alignment horizontal="left" indent="1"/>
    </xf>
    <xf numFmtId="0" fontId="25" fillId="0" borderId="0" xfId="39" applyFont="1" applyAlignment="1">
      <alignment horizontal="left" indent="1"/>
    </xf>
    <xf numFmtId="0" fontId="23" fillId="24" borderId="0" xfId="39" applyFont="1" applyFill="1"/>
    <xf numFmtId="0" fontId="23" fillId="0" borderId="11" xfId="39" applyFont="1" applyBorder="1" applyAlignment="1"/>
    <xf numFmtId="0" fontId="25" fillId="0" borderId="0" xfId="39" applyFont="1" applyBorder="1" applyAlignment="1">
      <alignment horizontal="left"/>
    </xf>
    <xf numFmtId="0" fontId="23" fillId="0" borderId="0" xfId="39" applyFont="1" applyBorder="1" applyAlignment="1"/>
    <xf numFmtId="0" fontId="24" fillId="0" borderId="0" xfId="39" applyFont="1" applyFill="1" applyBorder="1" applyAlignment="1">
      <alignment horizontal="left" indent="1"/>
    </xf>
    <xf numFmtId="0" fontId="25" fillId="0" borderId="0" xfId="39" applyFont="1" applyBorder="1" applyAlignment="1">
      <alignment horizontal="left" indent="1"/>
    </xf>
    <xf numFmtId="0" fontId="23" fillId="0" borderId="0" xfId="39" applyFont="1" applyFill="1"/>
    <xf numFmtId="0" fontId="23" fillId="0" borderId="0" xfId="39" applyFont="1" applyBorder="1"/>
    <xf numFmtId="0" fontId="23" fillId="0" borderId="0" xfId="39" applyFont="1" applyAlignment="1">
      <alignment vertical="center"/>
    </xf>
    <xf numFmtId="190" fontId="26" fillId="25" borderId="12" xfId="39" applyNumberFormat="1" applyFont="1" applyFill="1" applyBorder="1" applyAlignment="1">
      <alignment horizontal="center" vertical="center"/>
    </xf>
    <xf numFmtId="0" fontId="26" fillId="25" borderId="13" xfId="39" applyFont="1" applyFill="1" applyBorder="1" applyAlignment="1">
      <alignment horizontal="center" vertical="center"/>
    </xf>
    <xf numFmtId="0" fontId="26" fillId="25" borderId="14" xfId="39" applyFont="1" applyFill="1" applyBorder="1" applyAlignment="1">
      <alignment horizontal="center" vertical="center"/>
    </xf>
    <xf numFmtId="0" fontId="23" fillId="0" borderId="0" xfId="39" applyFont="1" applyAlignment="1">
      <alignment vertical="top"/>
    </xf>
    <xf numFmtId="49" fontId="23" fillId="0" borderId="15" xfId="39" applyNumberFormat="1" applyFont="1" applyBorder="1" applyAlignment="1">
      <alignment vertical="top"/>
    </xf>
    <xf numFmtId="0" fontId="23" fillId="0" borderId="15" xfId="39" applyFont="1" applyBorder="1" applyAlignment="1">
      <alignment vertical="top"/>
    </xf>
    <xf numFmtId="15" fontId="23" fillId="0" borderId="15" xfId="39" applyNumberFormat="1" applyFont="1" applyBorder="1" applyAlignment="1">
      <alignment vertical="top"/>
    </xf>
    <xf numFmtId="190" fontId="23" fillId="0" borderId="16" xfId="39" applyNumberFormat="1" applyFont="1" applyBorder="1" applyAlignment="1">
      <alignment vertical="top"/>
    </xf>
    <xf numFmtId="0" fontId="23" fillId="0" borderId="17" xfId="39" applyFont="1" applyBorder="1" applyAlignment="1">
      <alignment vertical="top"/>
    </xf>
    <xf numFmtId="190" fontId="23" fillId="0" borderId="18" xfId="39" applyNumberFormat="1" applyFont="1" applyBorder="1" applyAlignment="1">
      <alignment vertical="top"/>
    </xf>
    <xf numFmtId="49" fontId="23" fillId="0" borderId="19" xfId="39" applyNumberFormat="1" applyFont="1" applyBorder="1" applyAlignment="1">
      <alignment vertical="top"/>
    </xf>
    <xf numFmtId="0" fontId="23" fillId="0" borderId="19" xfId="39" applyFont="1" applyBorder="1" applyAlignment="1">
      <alignment vertical="top"/>
    </xf>
    <xf numFmtId="0" fontId="23" fillId="0" borderId="20" xfId="39" applyFont="1" applyBorder="1" applyAlignment="1">
      <alignment vertical="top"/>
    </xf>
    <xf numFmtId="0" fontId="23" fillId="0" borderId="0" xfId="39" applyFont="1" applyAlignment="1">
      <alignment horizontal="left" indent="1"/>
    </xf>
    <xf numFmtId="1" fontId="23" fillId="24" borderId="0" xfId="39" applyNumberFormat="1" applyFont="1" applyFill="1" applyProtection="1">
      <protection hidden="1"/>
    </xf>
    <xf numFmtId="0" fontId="23" fillId="24" borderId="0" xfId="39" applyFont="1" applyFill="1" applyAlignment="1">
      <alignment horizontal="left"/>
    </xf>
    <xf numFmtId="0" fontId="23" fillId="24" borderId="0" xfId="39" applyFont="1" applyFill="1" applyAlignment="1">
      <alignment horizontal="left" wrapText="1"/>
    </xf>
    <xf numFmtId="0" fontId="22" fillId="24" borderId="0" xfId="39" applyFont="1" applyFill="1" applyAlignment="1">
      <alignment horizontal="left"/>
    </xf>
    <xf numFmtId="0" fontId="27" fillId="24" borderId="0" xfId="39" applyFont="1" applyFill="1" applyAlignment="1">
      <alignment horizontal="left"/>
    </xf>
    <xf numFmtId="0" fontId="28" fillId="24" borderId="0" xfId="39" applyFont="1" applyFill="1" applyAlignment="1">
      <alignment horizontal="left"/>
    </xf>
    <xf numFmtId="0" fontId="23" fillId="24" borderId="0" xfId="39" applyFont="1" applyFill="1" applyAlignment="1">
      <alignment wrapText="1"/>
    </xf>
    <xf numFmtId="1" fontId="24" fillId="24" borderId="0" xfId="39" applyNumberFormat="1" applyFont="1" applyFill="1" applyBorder="1" applyAlignment="1"/>
    <xf numFmtId="0" fontId="23" fillId="24" borderId="0" xfId="39" applyFont="1" applyFill="1" applyBorder="1" applyAlignment="1"/>
    <xf numFmtId="0" fontId="23" fillId="24" borderId="0" xfId="39" applyFont="1" applyFill="1" applyBorder="1" applyAlignment="1">
      <alignment wrapText="1"/>
    </xf>
    <xf numFmtId="1" fontId="23" fillId="24" borderId="0" xfId="39" applyNumberFormat="1" applyFont="1" applyFill="1" applyAlignment="1" applyProtection="1">
      <alignment vertical="center"/>
      <protection hidden="1"/>
    </xf>
    <xf numFmtId="0" fontId="23" fillId="24" borderId="0" xfId="39" applyFont="1" applyFill="1" applyAlignment="1">
      <alignment horizontal="left" vertical="center"/>
    </xf>
    <xf numFmtId="0" fontId="23" fillId="24" borderId="0" xfId="39" applyFont="1" applyFill="1" applyAlignment="1">
      <alignment horizontal="left" vertical="center" wrapText="1"/>
    </xf>
    <xf numFmtId="0" fontId="23" fillId="24" borderId="0" xfId="39" applyFont="1" applyFill="1" applyAlignment="1">
      <alignment vertical="center"/>
    </xf>
    <xf numFmtId="1" fontId="26" fillId="26" borderId="12" xfId="39" applyNumberFormat="1" applyFont="1" applyFill="1" applyBorder="1" applyAlignment="1">
      <alignment horizontal="center" vertical="center"/>
    </xf>
    <xf numFmtId="1" fontId="26" fillId="26" borderId="21" xfId="39" applyNumberFormat="1" applyFont="1" applyFill="1" applyBorder="1" applyAlignment="1">
      <alignment horizontal="center" vertical="center" wrapText="1"/>
    </xf>
    <xf numFmtId="1" fontId="26" fillId="26" borderId="21" xfId="39" applyNumberFormat="1" applyFont="1" applyFill="1" applyBorder="1" applyAlignment="1">
      <alignment horizontal="center" vertical="center"/>
    </xf>
    <xf numFmtId="0" fontId="26" fillId="26" borderId="13" xfId="39" applyFont="1" applyFill="1" applyBorder="1" applyAlignment="1">
      <alignment horizontal="center" vertical="center"/>
    </xf>
    <xf numFmtId="0" fontId="26" fillId="26" borderId="13" xfId="39" applyFont="1" applyFill="1" applyBorder="1" applyAlignment="1">
      <alignment horizontal="center" vertical="center" wrapText="1"/>
    </xf>
    <xf numFmtId="0" fontId="26" fillId="26" borderId="22" xfId="39" applyFont="1" applyFill="1" applyBorder="1" applyAlignment="1">
      <alignment horizontal="center" vertical="center"/>
    </xf>
    <xf numFmtId="0" fontId="26" fillId="26" borderId="14" xfId="39" applyFont="1" applyFill="1" applyBorder="1" applyAlignment="1">
      <alignment horizontal="center" vertical="center"/>
    </xf>
    <xf numFmtId="0" fontId="29" fillId="24" borderId="0" xfId="39" applyFont="1" applyFill="1" applyAlignment="1">
      <alignment horizontal="center"/>
    </xf>
    <xf numFmtId="1" fontId="23" fillId="24" borderId="23" xfId="39" applyNumberFormat="1" applyFont="1" applyFill="1" applyBorder="1" applyAlignment="1">
      <alignment vertical="center"/>
    </xf>
    <xf numFmtId="49" fontId="23" fillId="24" borderId="15" xfId="39" applyNumberFormat="1" applyFont="1" applyFill="1" applyBorder="1" applyAlignment="1">
      <alignment horizontal="left" vertical="center"/>
    </xf>
    <xf numFmtId="49" fontId="23" fillId="24" borderId="15" xfId="39" applyNumberFormat="1" applyFont="1" applyFill="1" applyBorder="1" applyAlignment="1">
      <alignment horizontal="left" vertical="center" wrapText="1"/>
    </xf>
    <xf numFmtId="0" fontId="30" fillId="24" borderId="15" xfId="34" applyNumberFormat="1" applyFont="1" applyFill="1" applyBorder="1" applyAlignment="1" applyProtection="1">
      <alignment horizontal="left" vertical="center"/>
    </xf>
    <xf numFmtId="0" fontId="23" fillId="24" borderId="17" xfId="39" applyFont="1" applyFill="1" applyBorder="1" applyAlignment="1">
      <alignment horizontal="left" vertical="center"/>
    </xf>
    <xf numFmtId="0" fontId="23" fillId="24" borderId="15" xfId="39" applyFont="1" applyFill="1" applyBorder="1" applyAlignment="1">
      <alignment horizontal="left" vertical="center"/>
    </xf>
    <xf numFmtId="1" fontId="23" fillId="24" borderId="24" xfId="39" applyNumberFormat="1" applyFont="1" applyFill="1" applyBorder="1" applyAlignment="1">
      <alignment vertical="center"/>
    </xf>
    <xf numFmtId="49" fontId="23" fillId="24" borderId="19" xfId="39" applyNumberFormat="1" applyFont="1" applyFill="1" applyBorder="1" applyAlignment="1">
      <alignment horizontal="left" vertical="center"/>
    </xf>
    <xf numFmtId="49" fontId="23" fillId="24" borderId="19" xfId="39" applyNumberFormat="1" applyFont="1" applyFill="1" applyBorder="1" applyAlignment="1">
      <alignment horizontal="left" vertical="center" wrapText="1"/>
    </xf>
    <xf numFmtId="0" fontId="23" fillId="24" borderId="19" xfId="39" applyFont="1" applyFill="1" applyBorder="1" applyAlignment="1">
      <alignment horizontal="left" vertical="center"/>
    </xf>
    <xf numFmtId="0" fontId="23" fillId="24" borderId="20" xfId="39" applyFont="1" applyFill="1" applyBorder="1" applyAlignment="1">
      <alignment horizontal="left" vertical="center"/>
    </xf>
    <xf numFmtId="1" fontId="23" fillId="24" borderId="0" xfId="39" applyNumberFormat="1" applyFont="1" applyFill="1"/>
    <xf numFmtId="0" fontId="32" fillId="0" borderId="25" xfId="39" applyFont="1" applyBorder="1"/>
    <xf numFmtId="0" fontId="33" fillId="0" borderId="25" xfId="39" applyFont="1" applyBorder="1" applyAlignment="1">
      <alignment horizontal="left"/>
    </xf>
    <xf numFmtId="0" fontId="32" fillId="0" borderId="0" xfId="39" applyFont="1"/>
    <xf numFmtId="0" fontId="32" fillId="0" borderId="0" xfId="39" applyFont="1" applyAlignment="1">
      <alignment horizontal="right"/>
    </xf>
    <xf numFmtId="49" fontId="32" fillId="0" borderId="0" xfId="39" applyNumberFormat="1" applyFont="1"/>
    <xf numFmtId="0" fontId="32" fillId="0" borderId="26" xfId="39" applyFont="1" applyBorder="1"/>
    <xf numFmtId="0" fontId="33" fillId="0" borderId="0" xfId="39" applyFont="1" applyAlignment="1">
      <alignment horizontal="left"/>
    </xf>
    <xf numFmtId="0" fontId="33" fillId="0" borderId="0" xfId="39" applyFont="1" applyFill="1"/>
    <xf numFmtId="49" fontId="32" fillId="0" borderId="0" xfId="39" applyNumberFormat="1" applyFont="1" applyBorder="1"/>
    <xf numFmtId="0" fontId="32" fillId="0" borderId="0" xfId="39" applyFont="1" applyBorder="1"/>
    <xf numFmtId="0" fontId="33" fillId="27" borderId="27" xfId="39" applyFont="1" applyFill="1" applyBorder="1" applyAlignment="1">
      <alignment horizontal="left" vertical="top"/>
    </xf>
    <xf numFmtId="0" fontId="32" fillId="27" borderId="28" xfId="39" applyFont="1" applyFill="1" applyBorder="1" applyAlignment="1">
      <alignment horizontal="center" vertical="top"/>
    </xf>
    <xf numFmtId="0" fontId="32" fillId="27" borderId="29" xfId="39" applyFont="1" applyFill="1" applyBorder="1" applyAlignment="1">
      <alignment horizontal="right" vertical="top"/>
    </xf>
    <xf numFmtId="0" fontId="35" fillId="28" borderId="30" xfId="39" applyFont="1" applyFill="1" applyBorder="1" applyAlignment="1">
      <alignment horizontal="right"/>
    </xf>
    <xf numFmtId="0" fontId="36" fillId="0" borderId="31" xfId="39" applyFont="1" applyBorder="1" applyAlignment="1">
      <alignment horizontal="center"/>
    </xf>
    <xf numFmtId="0" fontId="35" fillId="28" borderId="0" xfId="39" applyFont="1" applyFill="1" applyBorder="1" applyAlignment="1">
      <alignment horizontal="right"/>
    </xf>
    <xf numFmtId="0" fontId="32" fillId="0" borderId="0" xfId="39" applyFont="1" applyFill="1" applyBorder="1" applyAlignment="1">
      <alignment vertical="top"/>
    </xf>
    <xf numFmtId="0" fontId="32" fillId="28" borderId="0" xfId="39" applyFont="1" applyFill="1" applyBorder="1" applyAlignment="1">
      <alignment horizontal="right"/>
    </xf>
    <xf numFmtId="0" fontId="37" fillId="0" borderId="0" xfId="39" applyFont="1" applyAlignment="1">
      <alignment horizontal="center"/>
    </xf>
    <xf numFmtId="0" fontId="33" fillId="27" borderId="32" xfId="39" applyFont="1" applyFill="1" applyBorder="1" applyAlignment="1">
      <alignment horizontal="left" vertical="top"/>
    </xf>
    <xf numFmtId="0" fontId="32" fillId="27" borderId="33" xfId="39" applyFont="1" applyFill="1" applyBorder="1" applyAlignment="1">
      <alignment horizontal="center" vertical="top"/>
    </xf>
    <xf numFmtId="0" fontId="32" fillId="27" borderId="34" xfId="39" applyFont="1" applyFill="1" applyBorder="1" applyAlignment="1">
      <alignment horizontal="right" vertical="top"/>
    </xf>
    <xf numFmtId="0" fontId="32" fillId="28" borderId="35" xfId="39" applyFont="1" applyFill="1" applyBorder="1" applyAlignment="1">
      <alignment horizontal="right"/>
    </xf>
    <xf numFmtId="0" fontId="36" fillId="0" borderId="36" xfId="39" applyFont="1" applyBorder="1" applyAlignment="1">
      <alignment horizontal="center"/>
    </xf>
    <xf numFmtId="0" fontId="33" fillId="27" borderId="37" xfId="39" applyFont="1" applyFill="1" applyBorder="1" applyAlignment="1"/>
    <xf numFmtId="0" fontId="33" fillId="27" borderId="38" xfId="39" applyFont="1" applyFill="1" applyBorder="1" applyAlignment="1"/>
    <xf numFmtId="0" fontId="32" fillId="27" borderId="39" xfId="39" applyFont="1" applyFill="1" applyBorder="1" applyAlignment="1">
      <alignment horizontal="right"/>
    </xf>
    <xf numFmtId="0" fontId="32" fillId="28" borderId="40" xfId="39" applyFont="1" applyFill="1" applyBorder="1" applyAlignment="1">
      <alignment horizontal="left"/>
    </xf>
    <xf numFmtId="0" fontId="36" fillId="0" borderId="40" xfId="39" applyFont="1" applyBorder="1" applyAlignment="1">
      <alignment horizontal="center"/>
    </xf>
    <xf numFmtId="0" fontId="33" fillId="27" borderId="27" xfId="39" applyFont="1" applyFill="1" applyBorder="1" applyAlignment="1"/>
    <xf numFmtId="0" fontId="32" fillId="27" borderId="28" xfId="39" applyFont="1" applyFill="1" applyBorder="1" applyAlignment="1"/>
    <xf numFmtId="0" fontId="32" fillId="27" borderId="29" xfId="39" applyFont="1" applyFill="1" applyBorder="1" applyAlignment="1">
      <alignment horizontal="right"/>
    </xf>
    <xf numFmtId="0" fontId="32" fillId="28" borderId="31" xfId="39" applyFont="1" applyFill="1" applyBorder="1" applyAlignment="1">
      <alignment horizontal="left"/>
    </xf>
    <xf numFmtId="0" fontId="1" fillId="27" borderId="28" xfId="39" applyFill="1" applyBorder="1" applyAlignment="1"/>
    <xf numFmtId="0" fontId="32" fillId="28" borderId="31" xfId="39" applyFont="1" applyFill="1" applyBorder="1"/>
    <xf numFmtId="0" fontId="38" fillId="0" borderId="31" xfId="39" applyFont="1" applyBorder="1" applyAlignment="1">
      <alignment horizontal="center"/>
    </xf>
    <xf numFmtId="0" fontId="34" fillId="0" borderId="31" xfId="39" applyFont="1" applyBorder="1" applyAlignment="1">
      <alignment horizontal="left"/>
    </xf>
    <xf numFmtId="0" fontId="32" fillId="0" borderId="31" xfId="39" applyFont="1" applyBorder="1"/>
    <xf numFmtId="195" fontId="32" fillId="0" borderId="31" xfId="39" applyNumberFormat="1" applyFont="1" applyBorder="1" applyAlignment="1">
      <alignment vertical="top" textRotation="255"/>
    </xf>
    <xf numFmtId="0" fontId="33" fillId="27" borderId="27" xfId="39" applyFont="1" applyFill="1" applyBorder="1" applyAlignment="1">
      <alignment horizontal="right"/>
    </xf>
    <xf numFmtId="0" fontId="41" fillId="0" borderId="11" xfId="39" applyFont="1" applyBorder="1" applyAlignment="1"/>
    <xf numFmtId="0" fontId="41" fillId="0" borderId="11" xfId="39" applyFont="1" applyBorder="1" applyAlignment="1">
      <alignment horizontal="left" indent="1"/>
    </xf>
    <xf numFmtId="0" fontId="41" fillId="0" borderId="16" xfId="39" applyFont="1" applyBorder="1" applyAlignment="1">
      <alignment vertical="top" wrapText="1"/>
    </xf>
    <xf numFmtId="0" fontId="41" fillId="0" borderId="17" xfId="39" applyFont="1" applyBorder="1" applyAlignment="1">
      <alignment vertical="top" wrapText="1"/>
    </xf>
    <xf numFmtId="1" fontId="23" fillId="24" borderId="16" xfId="39" applyNumberFormat="1" applyFont="1" applyFill="1" applyBorder="1" applyAlignment="1">
      <alignment horizontal="center" vertical="center"/>
    </xf>
    <xf numFmtId="1" fontId="23" fillId="24" borderId="18" xfId="39" applyNumberFormat="1" applyFont="1" applyFill="1" applyBorder="1" applyAlignment="1">
      <alignment horizontal="center" vertical="center"/>
    </xf>
    <xf numFmtId="0" fontId="29" fillId="24" borderId="41" xfId="39" applyFont="1" applyFill="1" applyBorder="1" applyAlignment="1">
      <alignment horizontal="left"/>
    </xf>
    <xf numFmtId="0" fontId="29" fillId="0" borderId="0" xfId="39" applyFont="1" applyFill="1" applyBorder="1"/>
    <xf numFmtId="0" fontId="29" fillId="0" borderId="0" xfId="39" applyFont="1" applyAlignment="1">
      <alignment horizontal="left"/>
    </xf>
    <xf numFmtId="0" fontId="43" fillId="0" borderId="31" xfId="39" applyFont="1" applyBorder="1" applyAlignment="1">
      <alignment horizontal="center"/>
    </xf>
    <xf numFmtId="0" fontId="33" fillId="0" borderId="0" xfId="39" applyFont="1" applyAlignment="1">
      <alignment horizontal="center"/>
    </xf>
    <xf numFmtId="0" fontId="43" fillId="0" borderId="36" xfId="39" applyFont="1" applyBorder="1" applyAlignment="1">
      <alignment horizontal="center"/>
    </xf>
    <xf numFmtId="0" fontId="43" fillId="0" borderId="40" xfId="39" applyFont="1" applyBorder="1" applyAlignment="1">
      <alignment horizontal="center"/>
    </xf>
    <xf numFmtId="0" fontId="42" fillId="27" borderId="28" xfId="39" applyFont="1" applyFill="1" applyBorder="1" applyAlignment="1"/>
    <xf numFmtId="0" fontId="32" fillId="0" borderId="31" xfId="39" applyFont="1" applyBorder="1" applyAlignment="1">
      <alignment horizontal="center"/>
    </xf>
    <xf numFmtId="0" fontId="35" fillId="24" borderId="42" xfId="38" applyFont="1" applyFill="1" applyBorder="1" applyAlignment="1">
      <alignment wrapText="1"/>
    </xf>
    <xf numFmtId="0" fontId="35" fillId="24" borderId="43" xfId="38" applyFont="1" applyFill="1" applyBorder="1" applyAlignment="1">
      <alignment wrapText="1"/>
    </xf>
    <xf numFmtId="0" fontId="32" fillId="24" borderId="44" xfId="39" applyNumberFormat="1" applyFont="1" applyFill="1" applyBorder="1" applyAlignment="1">
      <alignment horizontal="center" vertical="center"/>
    </xf>
    <xf numFmtId="0" fontId="41" fillId="24" borderId="10" xfId="39" applyFont="1" applyFill="1" applyBorder="1" applyAlignment="1">
      <alignment horizontal="left"/>
    </xf>
    <xf numFmtId="0" fontId="41" fillId="24" borderId="45" xfId="39" applyFont="1" applyFill="1" applyBorder="1" applyAlignment="1">
      <alignment horizontal="left"/>
    </xf>
    <xf numFmtId="0" fontId="41" fillId="24" borderId="11" xfId="39" applyFont="1" applyFill="1" applyBorder="1" applyAlignment="1">
      <alignment horizontal="left"/>
    </xf>
    <xf numFmtId="0" fontId="35" fillId="24" borderId="45" xfId="38" applyFont="1" applyFill="1" applyBorder="1" applyAlignment="1">
      <alignment horizontal="left" wrapText="1"/>
    </xf>
    <xf numFmtId="0" fontId="33" fillId="27" borderId="46" xfId="39" applyFont="1" applyFill="1" applyBorder="1" applyAlignment="1"/>
    <xf numFmtId="0" fontId="32" fillId="27" borderId="30" xfId="39" applyFont="1" applyFill="1" applyBorder="1" applyAlignment="1"/>
    <xf numFmtId="0" fontId="32" fillId="27" borderId="47" xfId="39" applyFont="1" applyFill="1" applyBorder="1" applyAlignment="1">
      <alignment horizontal="right"/>
    </xf>
    <xf numFmtId="0" fontId="32" fillId="28" borderId="48" xfId="39" applyFont="1" applyFill="1" applyBorder="1" applyAlignment="1">
      <alignment horizontal="left"/>
    </xf>
    <xf numFmtId="0" fontId="43" fillId="0" borderId="48" xfId="39" applyFont="1" applyBorder="1" applyAlignment="1">
      <alignment horizontal="center"/>
    </xf>
    <xf numFmtId="0" fontId="32" fillId="0" borderId="49" xfId="39" applyFont="1" applyFill="1" applyBorder="1" applyAlignment="1">
      <alignment horizontal="left"/>
    </xf>
    <xf numFmtId="0" fontId="32" fillId="0" borderId="49" xfId="39" applyFont="1" applyBorder="1" applyAlignment="1">
      <alignment horizontal="center"/>
    </xf>
    <xf numFmtId="0" fontId="44" fillId="0" borderId="0" xfId="39" applyFont="1" applyFill="1" applyBorder="1" applyAlignment="1">
      <alignment vertical="top"/>
    </xf>
    <xf numFmtId="0" fontId="44" fillId="29" borderId="50" xfId="39" applyFont="1" applyFill="1" applyBorder="1" applyAlignment="1">
      <alignment horizontal="left"/>
    </xf>
    <xf numFmtId="0" fontId="45" fillId="29" borderId="50" xfId="39" applyFont="1" applyFill="1" applyBorder="1"/>
    <xf numFmtId="0" fontId="45" fillId="29" borderId="50" xfId="39" applyFont="1" applyFill="1" applyBorder="1" applyAlignment="1">
      <alignment horizontal="right"/>
    </xf>
    <xf numFmtId="0" fontId="44" fillId="29" borderId="50" xfId="39" applyFont="1" applyFill="1" applyBorder="1" applyAlignment="1">
      <alignment vertical="top" textRotation="180"/>
    </xf>
    <xf numFmtId="0" fontId="44" fillId="29" borderId="51" xfId="39" applyFont="1" applyFill="1" applyBorder="1" applyAlignment="1">
      <alignment vertical="top" textRotation="180"/>
    </xf>
    <xf numFmtId="0" fontId="43" fillId="0" borderId="52" xfId="39" applyFont="1" applyBorder="1" applyAlignment="1">
      <alignment horizontal="center"/>
    </xf>
    <xf numFmtId="0" fontId="44" fillId="29" borderId="53" xfId="39" applyFont="1" applyFill="1" applyBorder="1" applyAlignment="1">
      <alignment vertical="center"/>
    </xf>
    <xf numFmtId="0" fontId="43" fillId="0" borderId="54" xfId="39" applyFont="1" applyBorder="1" applyAlignment="1">
      <alignment horizontal="center"/>
    </xf>
    <xf numFmtId="0" fontId="43" fillId="0" borderId="55" xfId="39" applyFont="1" applyBorder="1" applyAlignment="1">
      <alignment horizontal="center"/>
    </xf>
    <xf numFmtId="0" fontId="43" fillId="0" borderId="56" xfId="39" applyFont="1" applyBorder="1" applyAlignment="1">
      <alignment horizontal="center"/>
    </xf>
    <xf numFmtId="0" fontId="32" fillId="0" borderId="57" xfId="39" applyFont="1" applyBorder="1" applyAlignment="1">
      <alignment horizontal="center"/>
    </xf>
    <xf numFmtId="0" fontId="44" fillId="29" borderId="58" xfId="39" applyFont="1" applyFill="1" applyBorder="1" applyAlignment="1">
      <alignment vertical="top"/>
    </xf>
    <xf numFmtId="0" fontId="32" fillId="0" borderId="52" xfId="39" applyFont="1" applyBorder="1" applyAlignment="1">
      <alignment horizontal="center"/>
    </xf>
    <xf numFmtId="195" fontId="32" fillId="0" borderId="52" xfId="39" applyNumberFormat="1" applyFont="1" applyBorder="1" applyAlignment="1">
      <alignment vertical="top" textRotation="255"/>
    </xf>
    <xf numFmtId="0" fontId="44" fillId="29" borderId="59" xfId="39" applyFont="1" applyFill="1" applyBorder="1" applyAlignment="1">
      <alignment vertical="top"/>
    </xf>
    <xf numFmtId="0" fontId="32" fillId="0" borderId="36" xfId="39" applyFont="1" applyBorder="1"/>
    <xf numFmtId="0" fontId="32" fillId="0" borderId="36" xfId="39" applyFont="1" applyBorder="1" applyAlignment="1">
      <alignment textRotation="255"/>
    </xf>
    <xf numFmtId="0" fontId="32" fillId="0" borderId="54" xfId="39" applyFont="1" applyBorder="1" applyAlignment="1">
      <alignment textRotation="255"/>
    </xf>
    <xf numFmtId="0" fontId="44" fillId="29" borderId="53" xfId="39" applyFont="1" applyFill="1" applyBorder="1" applyAlignment="1">
      <alignment vertical="top"/>
    </xf>
    <xf numFmtId="0" fontId="44" fillId="29" borderId="60" xfId="39" applyFont="1" applyFill="1" applyBorder="1" applyAlignment="1">
      <alignment vertical="top"/>
    </xf>
    <xf numFmtId="0" fontId="44" fillId="29" borderId="60" xfId="39" applyFont="1" applyFill="1" applyBorder="1" applyAlignment="1">
      <alignment vertical="center"/>
    </xf>
    <xf numFmtId="0" fontId="33" fillId="27" borderId="37" xfId="39" applyFont="1" applyFill="1" applyBorder="1" applyAlignment="1">
      <alignment horizontal="left" vertical="top"/>
    </xf>
    <xf numFmtId="0" fontId="32" fillId="27" borderId="38" xfId="39" applyFont="1" applyFill="1" applyBorder="1" applyAlignment="1">
      <alignment horizontal="center" vertical="top"/>
    </xf>
    <xf numFmtId="0" fontId="32" fillId="27" borderId="39" xfId="39" applyFont="1" applyFill="1" applyBorder="1" applyAlignment="1">
      <alignment horizontal="right" vertical="top"/>
    </xf>
    <xf numFmtId="0" fontId="36" fillId="0" borderId="48" xfId="39" applyFont="1" applyBorder="1" applyAlignment="1">
      <alignment horizontal="center"/>
    </xf>
    <xf numFmtId="0" fontId="38" fillId="0" borderId="49" xfId="39" applyFont="1" applyBorder="1" applyAlignment="1">
      <alignment horizontal="center"/>
    </xf>
    <xf numFmtId="0" fontId="45" fillId="29" borderId="61" xfId="39" applyFont="1" applyFill="1" applyBorder="1"/>
    <xf numFmtId="0" fontId="36" fillId="0" borderId="52" xfId="39" applyFont="1" applyBorder="1" applyAlignment="1">
      <alignment horizontal="center"/>
    </xf>
    <xf numFmtId="0" fontId="36" fillId="0" borderId="54" xfId="39" applyFont="1" applyBorder="1" applyAlignment="1">
      <alignment horizontal="center"/>
    </xf>
    <xf numFmtId="0" fontId="36" fillId="0" borderId="55" xfId="39" applyFont="1" applyBorder="1" applyAlignment="1">
      <alignment horizontal="center"/>
    </xf>
    <xf numFmtId="0" fontId="36" fillId="0" borderId="56" xfId="39" applyFont="1" applyBorder="1" applyAlignment="1">
      <alignment horizontal="center"/>
    </xf>
    <xf numFmtId="0" fontId="38" fillId="0" borderId="57" xfId="39" applyFont="1" applyBorder="1" applyAlignment="1">
      <alignment horizontal="center"/>
    </xf>
    <xf numFmtId="0" fontId="38" fillId="0" borderId="52" xfId="39" applyFont="1" applyBorder="1" applyAlignment="1">
      <alignment horizontal="center"/>
    </xf>
    <xf numFmtId="0" fontId="44" fillId="29" borderId="62" xfId="39" applyFont="1" applyFill="1" applyBorder="1" applyAlignment="1">
      <alignment vertical="top"/>
    </xf>
    <xf numFmtId="190" fontId="26" fillId="25" borderId="63" xfId="39" applyNumberFormat="1" applyFont="1" applyFill="1" applyBorder="1" applyAlignment="1">
      <alignment horizontal="center" vertical="center"/>
    </xf>
    <xf numFmtId="0" fontId="44" fillId="29" borderId="64" xfId="39" applyFont="1" applyFill="1" applyBorder="1" applyAlignment="1">
      <alignment horizontal="left"/>
    </xf>
    <xf numFmtId="0" fontId="45" fillId="29" borderId="64" xfId="39" applyFont="1" applyFill="1" applyBorder="1"/>
    <xf numFmtId="0" fontId="45" fillId="29" borderId="64" xfId="39" applyFont="1" applyFill="1" applyBorder="1" applyAlignment="1">
      <alignment horizontal="right"/>
    </xf>
    <xf numFmtId="0" fontId="44" fillId="29" borderId="64" xfId="39" applyFont="1" applyFill="1" applyBorder="1" applyAlignment="1">
      <alignment vertical="top" textRotation="180"/>
    </xf>
    <xf numFmtId="0" fontId="44" fillId="29" borderId="65" xfId="39" applyFont="1" applyFill="1" applyBorder="1" applyAlignment="1">
      <alignment vertical="top" textRotation="180"/>
    </xf>
    <xf numFmtId="0" fontId="48" fillId="29" borderId="64" xfId="39" applyFont="1" applyFill="1" applyBorder="1" applyAlignment="1">
      <alignment vertical="top" textRotation="180"/>
    </xf>
    <xf numFmtId="0" fontId="12" fillId="27" borderId="29" xfId="34" applyFill="1" applyBorder="1" applyAlignment="1">
      <alignment horizontal="right" vertical="top"/>
    </xf>
    <xf numFmtId="16" fontId="32" fillId="0" borderId="0" xfId="39" applyNumberFormat="1" applyFont="1"/>
    <xf numFmtId="16" fontId="36" fillId="0" borderId="48" xfId="39" applyNumberFormat="1" applyFont="1" applyBorder="1" applyAlignment="1">
      <alignment horizontal="center"/>
    </xf>
    <xf numFmtId="16" fontId="36" fillId="0" borderId="56" xfId="39" applyNumberFormat="1" applyFont="1" applyBorder="1" applyAlignment="1">
      <alignment horizontal="center"/>
    </xf>
    <xf numFmtId="0" fontId="33" fillId="0" borderId="0" xfId="39" applyFont="1"/>
    <xf numFmtId="0" fontId="33" fillId="0" borderId="0" xfId="39" applyFont="1" applyAlignment="1">
      <alignment horizontal="right"/>
    </xf>
    <xf numFmtId="0" fontId="22" fillId="0" borderId="41" xfId="39" applyFont="1" applyBorder="1" applyAlignment="1">
      <alignment horizontal="center" vertical="center"/>
    </xf>
    <xf numFmtId="0" fontId="41" fillId="0" borderId="41" xfId="39" applyFont="1" applyBorder="1" applyAlignment="1">
      <alignment horizontal="left"/>
    </xf>
    <xf numFmtId="0" fontId="29" fillId="24" borderId="41" xfId="39" applyFont="1" applyFill="1" applyBorder="1" applyAlignment="1">
      <alignment horizontal="left" vertical="center"/>
    </xf>
    <xf numFmtId="0" fontId="41" fillId="0" borderId="41" xfId="39" applyFont="1" applyBorder="1" applyAlignment="1">
      <alignment horizontal="left" vertical="center"/>
    </xf>
    <xf numFmtId="1" fontId="29" fillId="24" borderId="41" xfId="39" applyNumberFormat="1" applyFont="1" applyFill="1" applyBorder="1" applyAlignment="1">
      <alignment vertical="center" wrapText="1"/>
    </xf>
    <xf numFmtId="1" fontId="29" fillId="24" borderId="10" xfId="39" applyNumberFormat="1" applyFont="1" applyFill="1" applyBorder="1" applyAlignment="1"/>
    <xf numFmtId="0" fontId="41" fillId="24" borderId="10" xfId="39" applyFont="1" applyFill="1" applyBorder="1" applyAlignment="1">
      <alignment horizontal="left"/>
    </xf>
    <xf numFmtId="0" fontId="41" fillId="24" borderId="45" xfId="39" applyFont="1" applyFill="1" applyBorder="1" applyAlignment="1">
      <alignment horizontal="left"/>
    </xf>
    <xf numFmtId="0" fontId="41" fillId="24" borderId="11" xfId="39" applyFont="1" applyFill="1" applyBorder="1" applyAlignment="1">
      <alignment horizontal="left"/>
    </xf>
    <xf numFmtId="0" fontId="41" fillId="24" borderId="10" xfId="39" applyFont="1" applyFill="1" applyBorder="1" applyAlignment="1">
      <alignment horizontal="left" vertical="top" wrapText="1"/>
    </xf>
    <xf numFmtId="0" fontId="41" fillId="24" borderId="45" xfId="39" applyFont="1" applyFill="1" applyBorder="1" applyAlignment="1">
      <alignment horizontal="left" vertical="top" wrapText="1"/>
    </xf>
    <xf numFmtId="0" fontId="41" fillId="24" borderId="11" xfId="39" applyFont="1" applyFill="1" applyBorder="1" applyAlignment="1">
      <alignment horizontal="left" vertical="top" wrapText="1"/>
    </xf>
    <xf numFmtId="1" fontId="29" fillId="24" borderId="10" xfId="39" applyNumberFormat="1" applyFont="1" applyFill="1" applyBorder="1" applyAlignment="1">
      <alignment horizontal="left"/>
    </xf>
    <xf numFmtId="1" fontId="29" fillId="24" borderId="45" xfId="39" applyNumberFormat="1" applyFont="1" applyFill="1" applyBorder="1" applyAlignment="1">
      <alignment horizontal="left"/>
    </xf>
    <xf numFmtId="1" fontId="29" fillId="24" borderId="11" xfId="39" applyNumberFormat="1" applyFont="1" applyFill="1" applyBorder="1" applyAlignment="1">
      <alignment horizontal="left"/>
    </xf>
    <xf numFmtId="0" fontId="33" fillId="24" borderId="83" xfId="39" applyFont="1" applyFill="1" applyBorder="1" applyAlignment="1">
      <alignment horizontal="center" vertical="center" wrapText="1"/>
    </xf>
    <xf numFmtId="0" fontId="33" fillId="24" borderId="45" xfId="39" applyFont="1" applyFill="1" applyBorder="1" applyAlignment="1">
      <alignment horizontal="center" vertical="center" wrapText="1"/>
    </xf>
    <xf numFmtId="0" fontId="33" fillId="24" borderId="84" xfId="39" applyFont="1" applyFill="1" applyBorder="1" applyAlignment="1">
      <alignment horizontal="center" vertical="center" wrapText="1"/>
    </xf>
    <xf numFmtId="49" fontId="32" fillId="24" borderId="68" xfId="38" applyNumberFormat="1" applyFont="1" applyFill="1" applyBorder="1" applyAlignment="1">
      <alignment horizontal="center" wrapText="1"/>
    </xf>
    <xf numFmtId="0" fontId="32" fillId="24" borderId="67" xfId="38" applyFont="1" applyFill="1" applyBorder="1" applyAlignment="1">
      <alignment horizontal="center" wrapText="1"/>
    </xf>
    <xf numFmtId="0" fontId="32" fillId="24" borderId="85" xfId="38" applyFont="1" applyFill="1" applyBorder="1" applyAlignment="1">
      <alignment horizontal="center" wrapText="1"/>
    </xf>
    <xf numFmtId="0" fontId="35" fillId="24" borderId="42" xfId="38" applyFont="1" applyFill="1" applyBorder="1" applyAlignment="1">
      <alignment horizontal="left" wrapText="1"/>
    </xf>
    <xf numFmtId="0" fontId="33" fillId="24" borderId="10" xfId="39" applyFont="1" applyFill="1" applyBorder="1" applyAlignment="1">
      <alignment horizontal="center" vertical="center" wrapText="1"/>
    </xf>
    <xf numFmtId="0" fontId="33" fillId="24" borderId="11" xfId="39" applyFont="1" applyFill="1" applyBorder="1" applyAlignment="1">
      <alignment horizontal="center" vertical="center" wrapText="1"/>
    </xf>
    <xf numFmtId="0" fontId="33" fillId="24" borderId="27" xfId="38" applyFont="1" applyFill="1" applyBorder="1" applyAlignment="1">
      <alignment horizontal="left" wrapText="1"/>
    </xf>
    <xf numFmtId="0" fontId="33" fillId="24" borderId="28" xfId="38" applyFont="1" applyFill="1" applyBorder="1" applyAlignment="1">
      <alignment horizontal="left" wrapText="1"/>
    </xf>
    <xf numFmtId="0" fontId="33" fillId="24" borderId="29" xfId="38" applyFont="1" applyFill="1" applyBorder="1" applyAlignment="1">
      <alignment horizontal="left" wrapText="1"/>
    </xf>
    <xf numFmtId="0" fontId="32" fillId="24" borderId="83" xfId="38" applyFont="1" applyFill="1" applyBorder="1" applyAlignment="1">
      <alignment horizontal="center" wrapText="1"/>
    </xf>
    <xf numFmtId="0" fontId="32" fillId="24" borderId="45" xfId="38" applyFont="1" applyFill="1" applyBorder="1" applyAlignment="1">
      <alignment horizontal="center" wrapText="1"/>
    </xf>
    <xf numFmtId="0" fontId="32" fillId="24" borderId="86" xfId="38" applyFont="1" applyFill="1" applyBorder="1" applyAlignment="1">
      <alignment horizontal="center" wrapText="1"/>
    </xf>
    <xf numFmtId="0" fontId="33" fillId="24" borderId="87" xfId="39" applyFont="1" applyFill="1" applyBorder="1" applyAlignment="1">
      <alignment horizontal="center" vertical="center" wrapText="1"/>
    </xf>
    <xf numFmtId="0" fontId="32" fillId="0" borderId="31" xfId="39" applyFont="1" applyBorder="1" applyAlignment="1">
      <alignment horizontal="left" vertical="top"/>
    </xf>
    <xf numFmtId="0" fontId="32" fillId="0" borderId="36" xfId="39" applyFont="1" applyBorder="1" applyAlignment="1">
      <alignment horizontal="left" vertical="top"/>
    </xf>
    <xf numFmtId="0" fontId="32" fillId="0" borderId="49" xfId="39" applyFont="1" applyFill="1" applyBorder="1" applyAlignment="1">
      <alignment horizontal="left"/>
    </xf>
    <xf numFmtId="0" fontId="35" fillId="24" borderId="78" xfId="38" applyFont="1" applyFill="1" applyBorder="1" applyAlignment="1">
      <alignment horizontal="left" wrapText="1"/>
    </xf>
    <xf numFmtId="0" fontId="35" fillId="24" borderId="79" xfId="38" applyFont="1" applyFill="1" applyBorder="1" applyAlignment="1">
      <alignment horizontal="left" wrapText="1"/>
    </xf>
    <xf numFmtId="0" fontId="32" fillId="0" borderId="0" xfId="39" applyFont="1" applyBorder="1" applyAlignment="1">
      <alignment horizontal="right"/>
    </xf>
    <xf numFmtId="0" fontId="33" fillId="24" borderId="77" xfId="39" applyFont="1" applyFill="1" applyBorder="1" applyAlignment="1">
      <alignment horizontal="center" vertical="center"/>
    </xf>
    <xf numFmtId="0" fontId="33" fillId="24" borderId="11" xfId="39" applyFont="1" applyFill="1" applyBorder="1" applyAlignment="1">
      <alignment horizontal="center" vertical="center"/>
    </xf>
    <xf numFmtId="0" fontId="33" fillId="24" borderId="77" xfId="38" applyFont="1" applyFill="1" applyBorder="1" applyAlignment="1">
      <alignment horizontal="left" wrapText="1"/>
    </xf>
    <xf numFmtId="0" fontId="33" fillId="24" borderId="11" xfId="38" applyFont="1" applyFill="1" applyBorder="1" applyAlignment="1">
      <alignment horizontal="left" wrapText="1"/>
    </xf>
    <xf numFmtId="0" fontId="35" fillId="24" borderId="80" xfId="38" applyFont="1" applyFill="1" applyBorder="1" applyAlignment="1">
      <alignment horizontal="left" wrapText="1"/>
    </xf>
    <xf numFmtId="0" fontId="35" fillId="24" borderId="81" xfId="38" applyFont="1" applyFill="1" applyBorder="1" applyAlignment="1">
      <alignment horizontal="left" wrapText="1"/>
    </xf>
    <xf numFmtId="0" fontId="32" fillId="24" borderId="44" xfId="39" applyFont="1" applyFill="1" applyBorder="1" applyAlignment="1">
      <alignment horizontal="center" vertical="center"/>
    </xf>
    <xf numFmtId="0" fontId="32" fillId="24" borderId="73" xfId="39" applyFont="1" applyFill="1" applyBorder="1" applyAlignment="1">
      <alignment horizontal="center" vertical="center"/>
    </xf>
    <xf numFmtId="0" fontId="32" fillId="24" borderId="82" xfId="39" applyFont="1" applyFill="1" applyBorder="1" applyAlignment="1">
      <alignment horizontal="center" vertical="center"/>
    </xf>
    <xf numFmtId="0" fontId="33" fillId="24" borderId="66" xfId="38" applyFont="1" applyFill="1" applyBorder="1" applyAlignment="1">
      <alignment horizontal="left" wrapText="1"/>
    </xf>
    <xf numFmtId="0" fontId="33" fillId="24" borderId="67" xfId="38" applyFont="1" applyFill="1" applyBorder="1" applyAlignment="1">
      <alignment horizontal="left" wrapText="1"/>
    </xf>
    <xf numFmtId="49" fontId="35" fillId="24" borderId="68" xfId="38" applyNumberFormat="1" applyFont="1" applyFill="1" applyBorder="1" applyAlignment="1">
      <alignment horizontal="left" wrapText="1"/>
    </xf>
    <xf numFmtId="0" fontId="35" fillId="24" borderId="67" xfId="38" applyFont="1" applyFill="1" applyBorder="1" applyAlignment="1">
      <alignment horizontal="left" wrapText="1"/>
    </xf>
    <xf numFmtId="0" fontId="35" fillId="24" borderId="69" xfId="38" applyFont="1" applyFill="1" applyBorder="1" applyAlignment="1">
      <alignment horizontal="left" wrapText="1"/>
    </xf>
    <xf numFmtId="0" fontId="33" fillId="24" borderId="70" xfId="38" applyFont="1" applyFill="1" applyBorder="1" applyAlignment="1">
      <alignment horizontal="left" wrapText="1"/>
    </xf>
    <xf numFmtId="0" fontId="33" fillId="24" borderId="71" xfId="38" applyFont="1" applyFill="1" applyBorder="1" applyAlignment="1">
      <alignment horizontal="left" wrapText="1"/>
    </xf>
    <xf numFmtId="0" fontId="32" fillId="0" borderId="31" xfId="39" applyFont="1" applyBorder="1" applyAlignment="1">
      <alignment horizontal="left"/>
    </xf>
    <xf numFmtId="0" fontId="32" fillId="24" borderId="72" xfId="39" applyFont="1" applyFill="1" applyBorder="1" applyAlignment="1">
      <alignment horizontal="center" vertical="center"/>
    </xf>
    <xf numFmtId="0" fontId="32" fillId="24" borderId="74" xfId="39" applyFont="1" applyFill="1" applyBorder="1" applyAlignment="1">
      <alignment horizontal="center" vertical="center"/>
    </xf>
    <xf numFmtId="0" fontId="32" fillId="24" borderId="75" xfId="39" applyFont="1" applyFill="1" applyBorder="1" applyAlignment="1">
      <alignment horizontal="center" vertical="center"/>
    </xf>
    <xf numFmtId="0" fontId="32" fillId="24" borderId="76" xfId="39" applyFont="1" applyFill="1" applyBorder="1" applyAlignment="1">
      <alignment horizontal="center" vertical="center"/>
    </xf>
    <xf numFmtId="0" fontId="35" fillId="24" borderId="10" xfId="38" applyFont="1" applyFill="1" applyBorder="1" applyAlignment="1">
      <alignment horizontal="center" wrapText="1"/>
    </xf>
    <xf numFmtId="0" fontId="35" fillId="24" borderId="45" xfId="38" applyFont="1" applyFill="1" applyBorder="1" applyAlignment="1">
      <alignment horizontal="center" wrapText="1"/>
    </xf>
  </cellXfs>
  <cellStyles count="46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Hyperlink" xfId="34" builtinId="8"/>
    <cellStyle name="Input" xfId="35" builtinId="20" customBuiltin="1"/>
    <cellStyle name="Linked Cell" xfId="36" builtinId="24" customBuiltin="1"/>
    <cellStyle name="Neutral" xfId="37" builtinId="28" customBuiltin="1"/>
    <cellStyle name="Normal" xfId="0" builtinId="0"/>
    <cellStyle name="Normal_Sheet1" xfId="38" xr:uid="{852EEECB-F52D-47E8-87BC-C9FD0F48D2E7}"/>
    <cellStyle name="Normal_Template_UnitTest Case_v0.9" xfId="39" xr:uid="{135E8657-9138-4C22-87DD-6B6A8ED3CDC3}"/>
    <cellStyle name="Note" xfId="40" builtinId="10" customBuiltin="1"/>
    <cellStyle name="Output" xfId="41" builtinId="21" customBuiltin="1"/>
    <cellStyle name="Title" xfId="42" builtinId="15" customBuiltin="1"/>
    <cellStyle name="Total" xfId="43" builtinId="25" customBuiltin="1"/>
    <cellStyle name="Warning Text" xfId="44" builtinId="11" customBuiltin="1"/>
    <cellStyle name="標準_結合試験(AllOvertheWorld)" xfId="45" xr:uid="{C7ED51A9-0677-4793-B6A1-E1C89BD3D434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83820</xdr:rowOff>
    </xdr:from>
    <xdr:to>
      <xdr:col>0</xdr:col>
      <xdr:colOff>1920240</xdr:colOff>
      <xdr:row>1</xdr:row>
      <xdr:rowOff>777240</xdr:rowOff>
    </xdr:to>
    <xdr:pic>
      <xdr:nvPicPr>
        <xdr:cNvPr id="1070" name="Picture 1">
          <a:extLst>
            <a:ext uri="{FF2B5EF4-FFF2-40B4-BE49-F238E27FC236}">
              <a16:creationId xmlns:a16="http://schemas.microsoft.com/office/drawing/2014/main" id="{F1CED119-F47C-35ED-93C8-FF303420CB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51460"/>
          <a:ext cx="1920240" cy="6934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hyperlink" Target="mailto:nguyenvan@" TargetMode="External"/><Relationship Id="rId1" Type="http://schemas.openxmlformats.org/officeDocument/2006/relationships/hyperlink" Target="mailto:Admin@123" TargetMode="External"/><Relationship Id="rId4" Type="http://schemas.openxmlformats.org/officeDocument/2006/relationships/comments" Target="../comments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DEF92B-0F39-4716-83C2-C7815D7CC45F}">
  <dimension ref="A2:F18"/>
  <sheetViews>
    <sheetView zoomScale="125" workbookViewId="0">
      <selection activeCell="A14" sqref="A14"/>
    </sheetView>
  </sheetViews>
  <sheetFormatPr defaultColWidth="11" defaultRowHeight="13.2"/>
  <cols>
    <col min="1" max="1" width="28.109375" style="28" customWidth="1"/>
    <col min="2" max="2" width="10" style="3" customWidth="1"/>
    <col min="3" max="3" width="14.33203125" style="3" customWidth="1"/>
    <col min="4" max="4" width="8" style="3" customWidth="1"/>
    <col min="5" max="5" width="38" style="3" customWidth="1"/>
    <col min="6" max="6" width="48.109375" style="3" customWidth="1"/>
    <col min="7" max="16384" width="11" style="3"/>
  </cols>
  <sheetData>
    <row r="2" spans="1:6" s="2" customFormat="1" ht="75.75" customHeight="1">
      <c r="A2" s="1"/>
      <c r="B2" s="180" t="s">
        <v>0</v>
      </c>
      <c r="C2" s="180"/>
      <c r="D2" s="180"/>
      <c r="E2" s="180"/>
      <c r="F2" s="180"/>
    </row>
    <row r="3" spans="1:6">
      <c r="A3" s="4"/>
      <c r="B3" s="5"/>
      <c r="E3" s="6"/>
    </row>
    <row r="4" spans="1:6" ht="14.25" customHeight="1">
      <c r="A4" s="109" t="s">
        <v>1</v>
      </c>
      <c r="B4" s="181" t="s">
        <v>134</v>
      </c>
      <c r="C4" s="181"/>
      <c r="D4" s="181"/>
      <c r="E4" s="109" t="s">
        <v>2</v>
      </c>
      <c r="F4" s="7" t="s">
        <v>138</v>
      </c>
    </row>
    <row r="5" spans="1:6" ht="14.25" customHeight="1">
      <c r="A5" s="109" t="s">
        <v>3</v>
      </c>
      <c r="B5" s="181" t="s">
        <v>135</v>
      </c>
      <c r="C5" s="181"/>
      <c r="D5" s="181"/>
      <c r="E5" s="109" t="s">
        <v>4</v>
      </c>
      <c r="F5" s="7" t="s">
        <v>139</v>
      </c>
    </row>
    <row r="6" spans="1:6" ht="15.75" customHeight="1">
      <c r="A6" s="182" t="s">
        <v>5</v>
      </c>
      <c r="B6" s="183" t="s">
        <v>136</v>
      </c>
      <c r="C6" s="183"/>
      <c r="D6" s="183"/>
      <c r="E6" s="109" t="s">
        <v>6</v>
      </c>
      <c r="F6" s="103" t="s">
        <v>137</v>
      </c>
    </row>
    <row r="7" spans="1:6" ht="13.5" customHeight="1">
      <c r="A7" s="182"/>
      <c r="B7" s="183"/>
      <c r="C7" s="183"/>
      <c r="D7" s="183"/>
      <c r="E7" s="109" t="s">
        <v>7</v>
      </c>
      <c r="F7" s="104"/>
    </row>
    <row r="8" spans="1:6">
      <c r="A8" s="110"/>
      <c r="B8" s="8"/>
      <c r="C8" s="9"/>
      <c r="D8" s="9"/>
      <c r="E8" s="10"/>
      <c r="F8" s="11"/>
    </row>
    <row r="9" spans="1:6">
      <c r="A9" s="12"/>
      <c r="B9" s="13"/>
      <c r="C9" s="13"/>
      <c r="D9" s="13"/>
      <c r="E9" s="13"/>
    </row>
    <row r="10" spans="1:6">
      <c r="A10" s="111" t="s">
        <v>8</v>
      </c>
    </row>
    <row r="11" spans="1:6" s="14" customFormat="1">
      <c r="A11" s="15" t="s">
        <v>9</v>
      </c>
      <c r="B11" s="16" t="s">
        <v>7</v>
      </c>
      <c r="C11" s="16" t="s">
        <v>10</v>
      </c>
      <c r="D11" s="16" t="s">
        <v>11</v>
      </c>
      <c r="E11" s="16" t="s">
        <v>12</v>
      </c>
      <c r="F11" s="17" t="s">
        <v>13</v>
      </c>
    </row>
    <row r="12" spans="1:6" s="18" customFormat="1" ht="26.25" customHeight="1">
      <c r="A12" s="105" t="s">
        <v>116</v>
      </c>
      <c r="B12" s="19" t="s">
        <v>105</v>
      </c>
      <c r="C12" s="20" t="s">
        <v>117</v>
      </c>
      <c r="D12" s="20" t="s">
        <v>53</v>
      </c>
      <c r="E12" s="21" t="s">
        <v>118</v>
      </c>
      <c r="F12" s="106" t="s">
        <v>119</v>
      </c>
    </row>
    <row r="13" spans="1:6" s="18" customFormat="1" ht="21.75" customHeight="1">
      <c r="A13" s="22" t="s">
        <v>120</v>
      </c>
      <c r="B13" s="19" t="s">
        <v>121</v>
      </c>
      <c r="C13" s="20" t="s">
        <v>122</v>
      </c>
      <c r="D13" s="20" t="s">
        <v>123</v>
      </c>
      <c r="E13" s="20" t="s">
        <v>124</v>
      </c>
      <c r="F13" s="23" t="s">
        <v>125</v>
      </c>
    </row>
    <row r="14" spans="1:6" s="18" customFormat="1" ht="19.5" customHeight="1">
      <c r="A14" s="22" t="s">
        <v>137</v>
      </c>
      <c r="B14" s="19" t="s">
        <v>140</v>
      </c>
      <c r="C14" s="20" t="s">
        <v>141</v>
      </c>
      <c r="D14" s="20" t="s">
        <v>53</v>
      </c>
      <c r="E14" s="20" t="s">
        <v>142</v>
      </c>
      <c r="F14" s="23" t="s">
        <v>143</v>
      </c>
    </row>
    <row r="15" spans="1:6" s="18" customFormat="1" ht="21.75" customHeight="1">
      <c r="A15" s="22"/>
      <c r="B15" s="19"/>
      <c r="C15" s="20"/>
      <c r="D15" s="20"/>
      <c r="E15" s="20"/>
      <c r="F15" s="23"/>
    </row>
    <row r="16" spans="1:6" s="18" customFormat="1" ht="19.5" customHeight="1">
      <c r="A16" s="22"/>
      <c r="B16" s="19"/>
      <c r="C16" s="20"/>
      <c r="D16" s="20"/>
      <c r="E16" s="20"/>
      <c r="F16" s="23"/>
    </row>
    <row r="17" spans="1:6" s="18" customFormat="1" ht="21.75" customHeight="1">
      <c r="A17" s="22"/>
      <c r="B17" s="19"/>
      <c r="C17" s="20"/>
      <c r="D17" s="20"/>
      <c r="E17" s="20"/>
      <c r="F17" s="23"/>
    </row>
    <row r="18" spans="1:6" s="18" customFormat="1" ht="19.5" customHeight="1">
      <c r="A18" s="24"/>
      <c r="B18" s="25"/>
      <c r="C18" s="26"/>
      <c r="D18" s="26"/>
      <c r="E18" s="26"/>
      <c r="F18" s="27"/>
    </row>
  </sheetData>
  <mergeCells count="5">
    <mergeCell ref="B2:F2"/>
    <mergeCell ref="B4:D4"/>
    <mergeCell ref="B5:D5"/>
    <mergeCell ref="A6:A7"/>
    <mergeCell ref="B6:D7"/>
  </mergeCells>
  <phoneticPr fontId="0" type="noConversion"/>
  <pageMargins left="0.47013888888888888" right="0.47013888888888888" top="0.5" bottom="0.35138888888888886" header="0.51180555555555562" footer="0.1701388888888889"/>
  <pageSetup paperSize="9" firstPageNumber="0" orientation="landscape" horizontalDpi="300" verticalDpi="300"/>
  <headerFooter alignWithMargins="0">
    <oddFooter>&amp;L&amp;"Tahoma,Regular"&amp;8 02ae-BM/PM/HDCV/FSOFT v2/1&amp;C&amp;"Tahoma,Regular"&amp;8Internal use&amp;R&amp;"tahomaTahoma,Regular"&amp;8&amp;P/&amp;N</oddFooter>
  </headerFooter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C594D3-BBDE-4A48-BC39-C9DC68B6851B}">
  <dimension ref="A2:H25"/>
  <sheetViews>
    <sheetView zoomScaleNormal="100" workbookViewId="0">
      <selection activeCell="H28" sqref="H28"/>
    </sheetView>
  </sheetViews>
  <sheetFormatPr defaultColWidth="11" defaultRowHeight="13.2"/>
  <cols>
    <col min="1" max="1" width="7.109375" style="62" customWidth="1"/>
    <col min="2" max="2" width="14.88671875" style="62" customWidth="1"/>
    <col min="3" max="3" width="9.88671875" style="62" bestFit="1" customWidth="1"/>
    <col min="4" max="4" width="12.33203125" style="30" bestFit="1" customWidth="1"/>
    <col min="5" max="5" width="21" style="31" customWidth="1"/>
    <col min="6" max="6" width="19.77734375" style="30" bestFit="1" customWidth="1"/>
    <col min="7" max="7" width="22.44140625" style="30" customWidth="1"/>
    <col min="8" max="8" width="33.88671875" style="30" customWidth="1"/>
    <col min="9" max="16384" width="11" style="6"/>
  </cols>
  <sheetData>
    <row r="2" spans="1:8" ht="24.6">
      <c r="A2" s="29"/>
      <c r="B2" s="29"/>
      <c r="C2" s="29"/>
      <c r="E2" s="32" t="s">
        <v>14</v>
      </c>
      <c r="F2" s="32"/>
      <c r="G2" s="33"/>
    </row>
    <row r="3" spans="1:8" ht="13.5" customHeight="1">
      <c r="A3" s="29"/>
      <c r="B3" s="29"/>
      <c r="C3" s="29"/>
      <c r="F3" s="34"/>
      <c r="G3" s="34"/>
    </row>
    <row r="4" spans="1:8" ht="14.25" customHeight="1">
      <c r="A4" s="185" t="s">
        <v>1</v>
      </c>
      <c r="B4" s="185"/>
      <c r="C4" s="185"/>
      <c r="D4" s="185"/>
      <c r="E4" s="186" t="s">
        <v>134</v>
      </c>
      <c r="F4" s="187"/>
      <c r="G4" s="187"/>
      <c r="H4" s="188"/>
    </row>
    <row r="5" spans="1:8" ht="14.25" customHeight="1">
      <c r="A5" s="185" t="s">
        <v>3</v>
      </c>
      <c r="B5" s="185"/>
      <c r="C5" s="185"/>
      <c r="D5" s="185"/>
      <c r="E5" s="186" t="s">
        <v>135</v>
      </c>
      <c r="F5" s="187"/>
      <c r="G5" s="187"/>
      <c r="H5" s="188"/>
    </row>
    <row r="6" spans="1:8" ht="14.25" customHeight="1">
      <c r="A6" s="192" t="s">
        <v>90</v>
      </c>
      <c r="B6" s="193"/>
      <c r="C6" s="193"/>
      <c r="D6" s="194"/>
      <c r="E6" s="121">
        <v>100</v>
      </c>
      <c r="F6" s="122"/>
      <c r="G6" s="122"/>
      <c r="H6" s="123"/>
    </row>
    <row r="7" spans="1:8" s="35" customFormat="1" ht="12.75" customHeight="1">
      <c r="A7" s="184" t="s">
        <v>15</v>
      </c>
      <c r="B7" s="184"/>
      <c r="C7" s="184"/>
      <c r="D7" s="184"/>
      <c r="E7" s="189" t="s">
        <v>144</v>
      </c>
      <c r="F7" s="190"/>
      <c r="G7" s="190"/>
      <c r="H7" s="191"/>
    </row>
    <row r="8" spans="1:8">
      <c r="A8" s="36"/>
      <c r="B8" s="36"/>
      <c r="C8" s="36"/>
      <c r="D8" s="37"/>
      <c r="E8" s="38"/>
      <c r="F8" s="37"/>
      <c r="G8" s="37"/>
      <c r="H8" s="37"/>
    </row>
    <row r="9" spans="1:8" s="42" customFormat="1">
      <c r="A9" s="39"/>
      <c r="B9" s="39"/>
      <c r="C9" s="39"/>
      <c r="D9" s="40"/>
      <c r="E9" s="41"/>
      <c r="F9" s="40"/>
      <c r="G9" s="40"/>
      <c r="H9" s="40"/>
    </row>
    <row r="10" spans="1:8" s="50" customFormat="1" ht="24" customHeight="1">
      <c r="A10" s="43" t="s">
        <v>16</v>
      </c>
      <c r="B10" s="44" t="s">
        <v>17</v>
      </c>
      <c r="C10" s="45" t="s">
        <v>18</v>
      </c>
      <c r="D10" s="46" t="s">
        <v>19</v>
      </c>
      <c r="E10" s="47" t="s">
        <v>102</v>
      </c>
      <c r="F10" s="46" t="s">
        <v>20</v>
      </c>
      <c r="G10" s="48" t="s">
        <v>21</v>
      </c>
      <c r="H10" s="49" t="s">
        <v>22</v>
      </c>
    </row>
    <row r="11" spans="1:8">
      <c r="A11" s="107">
        <v>1</v>
      </c>
      <c r="B11" s="51"/>
      <c r="C11" s="51" t="s">
        <v>23</v>
      </c>
      <c r="D11" s="52" t="s">
        <v>24</v>
      </c>
      <c r="E11" s="53" t="s">
        <v>127</v>
      </c>
      <c r="F11" s="54" t="s">
        <v>126</v>
      </c>
      <c r="G11" s="54"/>
      <c r="H11" s="55"/>
    </row>
    <row r="12" spans="1:8">
      <c r="A12" s="107">
        <v>2</v>
      </c>
      <c r="B12" s="51"/>
      <c r="C12" s="51" t="s">
        <v>86</v>
      </c>
      <c r="D12" s="52" t="s">
        <v>25</v>
      </c>
      <c r="E12" s="53" t="s">
        <v>26</v>
      </c>
      <c r="F12" s="54" t="s">
        <v>26</v>
      </c>
      <c r="G12" s="54"/>
      <c r="H12" s="55"/>
    </row>
    <row r="13" spans="1:8">
      <c r="A13" s="107">
        <v>3</v>
      </c>
      <c r="B13" s="51"/>
      <c r="C13" s="51" t="s">
        <v>87</v>
      </c>
      <c r="D13" s="52" t="s">
        <v>88</v>
      </c>
      <c r="E13" s="53" t="s">
        <v>89</v>
      </c>
      <c r="F13" s="54" t="s">
        <v>89</v>
      </c>
      <c r="G13" s="54"/>
      <c r="H13" s="55"/>
    </row>
    <row r="14" spans="1:8">
      <c r="A14" s="107">
        <v>4</v>
      </c>
      <c r="B14" s="51" t="s">
        <v>145</v>
      </c>
      <c r="C14" s="51" t="s">
        <v>146</v>
      </c>
      <c r="D14" s="52" t="s">
        <v>147</v>
      </c>
      <c r="E14" s="53" t="s">
        <v>148</v>
      </c>
      <c r="F14" s="54" t="s">
        <v>149</v>
      </c>
      <c r="G14" s="54" t="s">
        <v>150</v>
      </c>
      <c r="H14" s="55" t="s">
        <v>151</v>
      </c>
    </row>
    <row r="15" spans="1:8">
      <c r="A15" s="107"/>
      <c r="B15" s="51"/>
      <c r="C15" s="51"/>
      <c r="D15" s="52"/>
      <c r="E15" s="53"/>
      <c r="F15" s="54"/>
      <c r="G15" s="54"/>
      <c r="H15" s="55"/>
    </row>
    <row r="16" spans="1:8">
      <c r="A16" s="107"/>
      <c r="B16" s="51"/>
      <c r="C16" s="51"/>
      <c r="D16" s="52"/>
      <c r="E16" s="53"/>
      <c r="F16" s="56"/>
      <c r="G16" s="56"/>
      <c r="H16" s="55"/>
    </row>
    <row r="17" spans="1:8">
      <c r="A17" s="107"/>
      <c r="B17" s="51"/>
      <c r="C17" s="51"/>
      <c r="D17" s="52"/>
      <c r="E17" s="53"/>
      <c r="F17" s="56"/>
      <c r="G17" s="56"/>
      <c r="H17" s="55"/>
    </row>
    <row r="18" spans="1:8">
      <c r="A18" s="107"/>
      <c r="B18" s="51"/>
      <c r="C18" s="51"/>
      <c r="D18" s="52"/>
      <c r="E18" s="53"/>
      <c r="F18" s="56"/>
      <c r="G18" s="56"/>
      <c r="H18" s="55"/>
    </row>
    <row r="19" spans="1:8">
      <c r="A19" s="107"/>
      <c r="B19" s="51"/>
      <c r="C19" s="51"/>
      <c r="D19" s="52"/>
      <c r="E19" s="53"/>
      <c r="F19" s="56"/>
      <c r="G19" s="56"/>
      <c r="H19" s="55"/>
    </row>
    <row r="20" spans="1:8">
      <c r="A20" s="107"/>
      <c r="B20" s="51"/>
      <c r="C20" s="51"/>
      <c r="D20" s="52"/>
      <c r="E20" s="53"/>
      <c r="F20" s="56"/>
      <c r="G20" s="56"/>
      <c r="H20" s="55"/>
    </row>
    <row r="21" spans="1:8">
      <c r="A21" s="107"/>
      <c r="B21" s="51"/>
      <c r="C21" s="51"/>
      <c r="D21" s="52"/>
      <c r="E21" s="53"/>
      <c r="F21" s="56"/>
      <c r="G21" s="56"/>
      <c r="H21" s="55"/>
    </row>
    <row r="22" spans="1:8">
      <c r="A22" s="107"/>
      <c r="B22" s="51"/>
      <c r="C22" s="51"/>
      <c r="D22" s="52"/>
      <c r="E22" s="53"/>
      <c r="F22" s="56"/>
      <c r="G22" s="56"/>
      <c r="H22" s="55"/>
    </row>
    <row r="23" spans="1:8">
      <c r="A23" s="108"/>
      <c r="B23" s="57"/>
      <c r="C23" s="57"/>
      <c r="D23" s="58"/>
      <c r="E23" s="59"/>
      <c r="F23" s="60"/>
      <c r="G23" s="60"/>
      <c r="H23" s="61"/>
    </row>
    <row r="25" spans="1:8">
      <c r="E25" s="31" t="s">
        <v>128</v>
      </c>
      <c r="F25" s="30" t="s">
        <v>129</v>
      </c>
    </row>
  </sheetData>
  <mergeCells count="7">
    <mergeCell ref="A7:D7"/>
    <mergeCell ref="A4:D4"/>
    <mergeCell ref="A5:D5"/>
    <mergeCell ref="E4:H4"/>
    <mergeCell ref="E5:H5"/>
    <mergeCell ref="E7:H7"/>
    <mergeCell ref="A6:D6"/>
  </mergeCells>
  <phoneticPr fontId="0" type="noConversion"/>
  <hyperlinks>
    <hyperlink ref="F11" location="Function1!A1" display="Function1" xr:uid="{F2054285-FFE5-45A0-99B3-1969C92938F4}"/>
    <hyperlink ref="F12" location="Function2!A1" display="Function2" xr:uid="{4179C47C-0E5C-430C-9798-B4E6FB196E30}"/>
    <hyperlink ref="F13" location="Function3!A1" display="Function3" xr:uid="{C25F3516-D4CE-4DE7-8D7A-CE23C8353397}"/>
  </hyperlinks>
  <pageMargins left="0.65" right="0.65" top="0.75" bottom="0.75" header="0.5" footer="0.5"/>
  <pageSetup paperSize="9" firstPageNumber="0" orientation="landscape" horizontalDpi="300" verticalDpi="300"/>
  <headerFooter alignWithMargins="0">
    <oddFooter>&amp;L&amp;"Tahoma,Regular"&amp;8 02ae-BM/PM/HDCV/FSOFT v2/1&amp;C&amp;"Tahoma,Regular"&amp;8Internal use&amp;R&amp;"Tahoma,Regular"&amp;8&amp;P/&amp;N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F9F5D7-C2E3-409A-8196-4AB45A48CFD5}">
  <dimension ref="A1:Y46"/>
  <sheetViews>
    <sheetView topLeftCell="A7" zoomScale="130" zoomScaleNormal="130" workbookViewId="0">
      <selection activeCell="K45" sqref="K45"/>
    </sheetView>
  </sheetViews>
  <sheetFormatPr defaultColWidth="11" defaultRowHeight="13.5" customHeight="1"/>
  <cols>
    <col min="1" max="1" width="8.109375" style="65" customWidth="1"/>
    <col min="2" max="2" width="13.33203125" style="69" customWidth="1"/>
    <col min="3" max="3" width="10.88671875" style="65" customWidth="1"/>
    <col min="4" max="4" width="11.33203125" style="66" customWidth="1"/>
    <col min="5" max="5" width="1.88671875" style="65" hidden="1" customWidth="1"/>
    <col min="6" max="7" width="2.88671875" style="65" bestFit="1" customWidth="1"/>
    <col min="8" max="8" width="2.88671875" style="65" customWidth="1"/>
    <col min="9" max="10" width="2.88671875" style="65" bestFit="1" customWidth="1"/>
    <col min="11" max="19" width="2.88671875" style="65" customWidth="1"/>
    <col min="20" max="20" width="2.88671875" style="65" bestFit="1" customWidth="1"/>
    <col min="21" max="21" width="2.88671875" style="65" customWidth="1"/>
    <col min="22" max="16384" width="11" style="65"/>
  </cols>
  <sheetData>
    <row r="1" spans="1:23" ht="13.5" customHeight="1" thickBot="1">
      <c r="A1" s="63"/>
      <c r="B1" s="64"/>
    </row>
    <row r="2" spans="1:23" ht="13.5" customHeight="1">
      <c r="A2" s="226" t="s">
        <v>74</v>
      </c>
      <c r="B2" s="227"/>
      <c r="C2" s="228" t="str">
        <f>FunctionList!E11</f>
        <v>AuthLogin</v>
      </c>
      <c r="D2" s="229"/>
      <c r="E2" s="230"/>
      <c r="F2" s="231" t="s">
        <v>19</v>
      </c>
      <c r="G2" s="232"/>
      <c r="H2" s="232"/>
      <c r="I2" s="232"/>
      <c r="J2" s="232"/>
      <c r="K2" s="232"/>
      <c r="L2" s="198" t="str">
        <f>FunctionList!D11</f>
        <v>Function A</v>
      </c>
      <c r="M2" s="199"/>
      <c r="N2" s="199"/>
      <c r="O2" s="199"/>
      <c r="P2" s="199"/>
      <c r="Q2" s="199"/>
      <c r="R2" s="199"/>
      <c r="S2" s="199"/>
      <c r="T2" s="200"/>
      <c r="V2" s="67"/>
    </row>
    <row r="3" spans="1:23" ht="13.5" customHeight="1">
      <c r="A3" s="219" t="s">
        <v>75</v>
      </c>
      <c r="B3" s="220"/>
      <c r="C3" s="214" t="s">
        <v>31</v>
      </c>
      <c r="D3" s="201"/>
      <c r="E3" s="215"/>
      <c r="F3" s="204" t="s">
        <v>76</v>
      </c>
      <c r="G3" s="205"/>
      <c r="H3" s="205"/>
      <c r="I3" s="205"/>
      <c r="J3" s="205"/>
      <c r="K3" s="206"/>
      <c r="L3" s="201"/>
      <c r="M3" s="201"/>
      <c r="N3" s="201"/>
      <c r="O3" s="118"/>
      <c r="P3" s="118"/>
      <c r="Q3" s="118"/>
      <c r="R3" s="118"/>
      <c r="S3" s="118"/>
      <c r="T3" s="119"/>
    </row>
    <row r="4" spans="1:23" ht="13.5" customHeight="1">
      <c r="A4" s="219" t="s">
        <v>77</v>
      </c>
      <c r="B4" s="220"/>
      <c r="C4" s="238">
        <v>100</v>
      </c>
      <c r="D4" s="239"/>
      <c r="E4" s="124"/>
      <c r="F4" s="204" t="s">
        <v>78</v>
      </c>
      <c r="G4" s="205"/>
      <c r="H4" s="205"/>
      <c r="I4" s="205"/>
      <c r="J4" s="205"/>
      <c r="K4" s="206"/>
      <c r="L4" s="207">
        <f xml:space="preserve"> IF(FunctionList!E6&lt;&gt;"N/A",SUM(C4*FunctionList!E6/1000,- O7),"N/A")</f>
        <v>-5</v>
      </c>
      <c r="M4" s="208"/>
      <c r="N4" s="208"/>
      <c r="O4" s="208"/>
      <c r="P4" s="208"/>
      <c r="Q4" s="208"/>
      <c r="R4" s="208"/>
      <c r="S4" s="208"/>
      <c r="T4" s="209"/>
      <c r="V4" s="67"/>
    </row>
    <row r="5" spans="1:23" ht="13.5" customHeight="1">
      <c r="A5" s="219" t="s">
        <v>79</v>
      </c>
      <c r="B5" s="220"/>
      <c r="C5" s="221" t="s">
        <v>73</v>
      </c>
      <c r="D5" s="221"/>
      <c r="E5" s="221"/>
      <c r="F5" s="222"/>
      <c r="G5" s="222"/>
      <c r="H5" s="222"/>
      <c r="I5" s="222"/>
      <c r="J5" s="222"/>
      <c r="K5" s="222"/>
      <c r="L5" s="221"/>
      <c r="M5" s="221"/>
      <c r="N5" s="221"/>
      <c r="O5" s="221"/>
      <c r="P5" s="221"/>
      <c r="Q5" s="221"/>
      <c r="R5" s="221"/>
      <c r="S5" s="221"/>
      <c r="T5" s="221"/>
    </row>
    <row r="6" spans="1:23" ht="13.5" customHeight="1">
      <c r="A6" s="217" t="s">
        <v>27</v>
      </c>
      <c r="B6" s="218"/>
      <c r="C6" s="202" t="s">
        <v>28</v>
      </c>
      <c r="D6" s="196"/>
      <c r="E6" s="203"/>
      <c r="F6" s="202" t="s">
        <v>29</v>
      </c>
      <c r="G6" s="196"/>
      <c r="H6" s="196"/>
      <c r="I6" s="196"/>
      <c r="J6" s="196"/>
      <c r="K6" s="210"/>
      <c r="L6" s="196" t="s">
        <v>80</v>
      </c>
      <c r="M6" s="196"/>
      <c r="N6" s="196"/>
      <c r="O6" s="195" t="s">
        <v>30</v>
      </c>
      <c r="P6" s="196"/>
      <c r="Q6" s="196"/>
      <c r="R6" s="196"/>
      <c r="S6" s="196"/>
      <c r="T6" s="197"/>
      <c r="V6" s="67"/>
    </row>
    <row r="7" spans="1:23" ht="13.5" customHeight="1" thickBot="1">
      <c r="A7" s="237">
        <f>COUNTIF(F43:HQ43,"P")</f>
        <v>12</v>
      </c>
      <c r="B7" s="236"/>
      <c r="C7" s="234">
        <f>COUNTIF(F43:HQ43,"F")</f>
        <v>2</v>
      </c>
      <c r="D7" s="224"/>
      <c r="E7" s="236"/>
      <c r="F7" s="234">
        <f>SUM(O7,- A7,- C7)</f>
        <v>1</v>
      </c>
      <c r="G7" s="224"/>
      <c r="H7" s="224"/>
      <c r="I7" s="224"/>
      <c r="J7" s="224"/>
      <c r="K7" s="235"/>
      <c r="L7" s="120">
        <f>COUNTIF(E42:HQ42,"N")</f>
        <v>11</v>
      </c>
      <c r="M7" s="120">
        <f>COUNTIF(E42:HQ42,"A")</f>
        <v>3</v>
      </c>
      <c r="N7" s="120">
        <f>COUNTIF(E42:HQ42,"B")</f>
        <v>1</v>
      </c>
      <c r="O7" s="223">
        <f>COUNTA(E9:HT9)</f>
        <v>15</v>
      </c>
      <c r="P7" s="224"/>
      <c r="Q7" s="224"/>
      <c r="R7" s="224"/>
      <c r="S7" s="224"/>
      <c r="T7" s="225"/>
      <c r="U7" s="68"/>
    </row>
    <row r="8" spans="1:23" ht="10.8" thickBot="1"/>
    <row r="9" spans="1:23" ht="46.5" customHeight="1" thickTop="1" thickBot="1">
      <c r="A9" s="167"/>
      <c r="B9" s="168"/>
      <c r="C9" s="169"/>
      <c r="D9" s="170"/>
      <c r="E9" s="169"/>
      <c r="F9" s="173" t="s">
        <v>32</v>
      </c>
      <c r="G9" s="173" t="s">
        <v>33</v>
      </c>
      <c r="H9" s="173" t="s">
        <v>34</v>
      </c>
      <c r="I9" s="173" t="s">
        <v>35</v>
      </c>
      <c r="J9" s="171" t="s">
        <v>36</v>
      </c>
      <c r="K9" s="171" t="s">
        <v>37</v>
      </c>
      <c r="L9" s="171" t="s">
        <v>38</v>
      </c>
      <c r="M9" s="171" t="s">
        <v>39</v>
      </c>
      <c r="N9" s="171" t="s">
        <v>40</v>
      </c>
      <c r="O9" s="171" t="s">
        <v>41</v>
      </c>
      <c r="P9" s="171" t="s">
        <v>42</v>
      </c>
      <c r="Q9" s="171" t="s">
        <v>43</v>
      </c>
      <c r="R9" s="171" t="s">
        <v>44</v>
      </c>
      <c r="S9" s="171" t="s">
        <v>45</v>
      </c>
      <c r="T9" s="172" t="s">
        <v>46</v>
      </c>
      <c r="U9" s="70"/>
      <c r="V9" s="71"/>
      <c r="W9" s="72"/>
    </row>
    <row r="10" spans="1:23" ht="13.5" customHeight="1">
      <c r="A10" s="153" t="s">
        <v>81</v>
      </c>
      <c r="B10" s="154" t="s">
        <v>82</v>
      </c>
      <c r="C10" s="155"/>
      <c r="D10" s="156"/>
      <c r="E10" s="78"/>
      <c r="F10" s="115"/>
      <c r="G10" s="115"/>
      <c r="H10" s="115"/>
      <c r="I10" s="115"/>
      <c r="J10" s="115"/>
      <c r="K10" s="115"/>
      <c r="L10" s="115"/>
      <c r="M10" s="115"/>
      <c r="N10" s="115"/>
      <c r="O10" s="115"/>
      <c r="P10" s="115"/>
      <c r="Q10" s="115"/>
      <c r="R10" s="115"/>
      <c r="S10" s="115"/>
      <c r="T10" s="141"/>
    </row>
    <row r="11" spans="1:23" ht="13.5" customHeight="1">
      <c r="A11" s="139"/>
      <c r="B11" s="73"/>
      <c r="C11" s="74"/>
      <c r="D11" s="75" t="s">
        <v>47</v>
      </c>
      <c r="E11" s="78"/>
      <c r="F11" s="112" t="s">
        <v>97</v>
      </c>
      <c r="G11" s="112" t="s">
        <v>97</v>
      </c>
      <c r="H11" s="112"/>
      <c r="I11" s="112"/>
      <c r="J11" s="112"/>
      <c r="K11" s="112"/>
      <c r="L11" s="112"/>
      <c r="M11" s="112"/>
      <c r="N11" s="112"/>
      <c r="O11" s="112"/>
      <c r="P11" s="112"/>
      <c r="Q11" s="112"/>
      <c r="R11" s="112"/>
      <c r="S11" s="112"/>
      <c r="T11" s="138"/>
      <c r="V11" s="67"/>
    </row>
    <row r="12" spans="1:23" ht="13.5" customHeight="1">
      <c r="A12" s="139"/>
      <c r="B12" s="73"/>
      <c r="C12" s="74"/>
      <c r="D12" s="75" t="s">
        <v>106</v>
      </c>
      <c r="E12" s="78"/>
      <c r="F12" s="112" t="s">
        <v>97</v>
      </c>
      <c r="G12" s="112" t="s">
        <v>97</v>
      </c>
      <c r="H12" s="112"/>
      <c r="I12" s="112"/>
      <c r="J12" s="112"/>
      <c r="K12" s="112"/>
      <c r="L12" s="112"/>
      <c r="M12" s="112"/>
      <c r="N12" s="112"/>
      <c r="O12" s="112"/>
      <c r="P12" s="112"/>
      <c r="Q12" s="112"/>
      <c r="R12" s="112"/>
      <c r="S12" s="112"/>
      <c r="T12" s="138"/>
    </row>
    <row r="13" spans="1:23" ht="13.5" customHeight="1">
      <c r="A13" s="139"/>
      <c r="B13" s="73"/>
      <c r="C13" s="74"/>
      <c r="D13" s="75" t="s">
        <v>107</v>
      </c>
      <c r="E13" s="78"/>
      <c r="F13" s="112"/>
      <c r="G13" s="112" t="s">
        <v>97</v>
      </c>
      <c r="H13" s="112"/>
      <c r="I13" s="112"/>
      <c r="J13" s="112"/>
      <c r="K13" s="112"/>
      <c r="L13" s="112"/>
      <c r="M13" s="112"/>
      <c r="N13" s="112"/>
      <c r="O13" s="112"/>
      <c r="P13" s="112"/>
      <c r="Q13" s="112"/>
      <c r="R13" s="112"/>
      <c r="S13" s="112"/>
      <c r="T13" s="138"/>
    </row>
    <row r="14" spans="1:23" ht="13.5" customHeight="1">
      <c r="A14" s="139"/>
      <c r="B14" s="73"/>
      <c r="C14" s="74"/>
      <c r="D14" s="75" t="s">
        <v>108</v>
      </c>
      <c r="E14" s="79"/>
      <c r="F14" s="112"/>
      <c r="G14" s="112"/>
      <c r="H14" s="112"/>
      <c r="I14" s="112"/>
      <c r="J14" s="112"/>
      <c r="K14" s="112"/>
      <c r="L14" s="112"/>
      <c r="M14" s="112"/>
      <c r="N14" s="112"/>
      <c r="O14" s="112"/>
      <c r="P14" s="112"/>
      <c r="Q14" s="112"/>
      <c r="R14" s="112"/>
      <c r="S14" s="112"/>
      <c r="T14" s="138"/>
    </row>
    <row r="15" spans="1:23" ht="13.5" customHeight="1">
      <c r="A15" s="139"/>
      <c r="B15" s="73" t="s">
        <v>109</v>
      </c>
      <c r="C15" s="74"/>
      <c r="D15" s="75"/>
      <c r="E15" s="80"/>
      <c r="F15" s="112"/>
      <c r="G15" s="112"/>
      <c r="H15" s="112"/>
      <c r="I15" s="112"/>
      <c r="J15" s="112"/>
      <c r="K15" s="112"/>
      <c r="L15" s="112"/>
      <c r="M15" s="112"/>
      <c r="N15" s="112"/>
      <c r="O15" s="112"/>
      <c r="P15" s="112"/>
      <c r="Q15" s="112"/>
      <c r="R15" s="112"/>
      <c r="S15" s="112"/>
      <c r="T15" s="138"/>
    </row>
    <row r="16" spans="1:23" ht="13.5" customHeight="1">
      <c r="A16" s="139"/>
      <c r="B16" s="73"/>
      <c r="C16" s="74"/>
      <c r="D16" s="75" t="s">
        <v>48</v>
      </c>
      <c r="E16" s="80"/>
      <c r="F16" s="112"/>
      <c r="G16" s="112" t="s">
        <v>97</v>
      </c>
      <c r="H16" s="112"/>
      <c r="I16" s="112"/>
      <c r="J16" s="112"/>
      <c r="K16" s="112"/>
      <c r="L16" s="112"/>
      <c r="M16" s="112"/>
      <c r="N16" s="112"/>
      <c r="O16" s="112"/>
      <c r="P16" s="112"/>
      <c r="Q16" s="112"/>
      <c r="R16" s="112"/>
      <c r="S16" s="112"/>
      <c r="T16" s="138"/>
    </row>
    <row r="17" spans="1:21" ht="13.5" customHeight="1">
      <c r="A17" s="139"/>
      <c r="B17" s="73"/>
      <c r="C17" s="74"/>
      <c r="D17" s="75" t="s">
        <v>110</v>
      </c>
      <c r="E17" s="80"/>
      <c r="F17" s="112" t="s">
        <v>97</v>
      </c>
      <c r="G17" s="112"/>
      <c r="H17" s="112"/>
      <c r="I17" s="112"/>
      <c r="J17" s="112"/>
      <c r="K17" s="112"/>
      <c r="L17" s="112"/>
      <c r="M17" s="112"/>
      <c r="N17" s="112"/>
      <c r="O17" s="112"/>
      <c r="P17" s="112"/>
      <c r="Q17" s="112"/>
      <c r="R17" s="112"/>
      <c r="S17" s="112"/>
      <c r="T17" s="138"/>
    </row>
    <row r="18" spans="1:21" ht="13.5" customHeight="1">
      <c r="A18" s="139"/>
      <c r="B18" s="73"/>
      <c r="C18" s="74"/>
      <c r="D18" s="75" t="s">
        <v>111</v>
      </c>
      <c r="E18" s="80"/>
      <c r="F18" s="112"/>
      <c r="G18" s="112"/>
      <c r="H18" s="112"/>
      <c r="I18" s="112"/>
      <c r="J18" s="112"/>
      <c r="K18" s="112"/>
      <c r="L18" s="112"/>
      <c r="M18" s="112"/>
      <c r="N18" s="112"/>
      <c r="O18" s="112"/>
      <c r="P18" s="112"/>
      <c r="Q18" s="112"/>
      <c r="R18" s="112"/>
      <c r="S18" s="112"/>
      <c r="T18" s="138"/>
    </row>
    <row r="19" spans="1:21" ht="13.5" customHeight="1">
      <c r="A19" s="139"/>
      <c r="B19" s="73"/>
      <c r="C19" s="74"/>
      <c r="D19" s="75" t="s">
        <v>112</v>
      </c>
      <c r="E19" s="80"/>
      <c r="F19" s="112"/>
      <c r="G19" s="112"/>
      <c r="H19" s="112"/>
      <c r="I19" s="112"/>
      <c r="J19" s="112"/>
      <c r="K19" s="112"/>
      <c r="L19" s="112"/>
      <c r="M19" s="112"/>
      <c r="N19" s="112"/>
      <c r="O19" s="112"/>
      <c r="P19" s="112"/>
      <c r="Q19" s="112"/>
      <c r="R19" s="112"/>
      <c r="S19" s="112"/>
      <c r="T19" s="138"/>
    </row>
    <row r="20" spans="1:21" ht="13.5" customHeight="1">
      <c r="A20" s="139"/>
      <c r="B20" s="73"/>
      <c r="C20" s="74"/>
      <c r="D20" s="174" t="s">
        <v>113</v>
      </c>
      <c r="E20" s="80"/>
      <c r="F20" s="112"/>
      <c r="G20" s="112"/>
      <c r="H20" s="112" t="s">
        <v>97</v>
      </c>
      <c r="I20" s="112"/>
      <c r="J20" s="112"/>
      <c r="K20" s="112"/>
      <c r="L20" s="112"/>
      <c r="M20" s="112"/>
      <c r="N20" s="112"/>
      <c r="O20" s="112"/>
      <c r="P20" s="112"/>
      <c r="Q20" s="112"/>
      <c r="R20" s="112"/>
      <c r="S20" s="112"/>
      <c r="T20" s="138"/>
      <c r="U20" s="113"/>
    </row>
    <row r="21" spans="1:21" ht="13.5" customHeight="1">
      <c r="A21" s="139"/>
      <c r="B21" s="73" t="s">
        <v>114</v>
      </c>
      <c r="C21" s="74"/>
      <c r="D21" s="75"/>
      <c r="E21" s="80"/>
      <c r="F21" s="112"/>
      <c r="G21" s="112"/>
      <c r="H21" s="112"/>
      <c r="I21" s="112"/>
      <c r="J21" s="112"/>
      <c r="K21" s="112"/>
      <c r="L21" s="112"/>
      <c r="M21" s="112"/>
      <c r="N21" s="112"/>
      <c r="O21" s="112"/>
      <c r="P21" s="112"/>
      <c r="Q21" s="112"/>
      <c r="R21" s="112"/>
      <c r="S21" s="112"/>
      <c r="T21" s="138"/>
      <c r="U21" s="113"/>
    </row>
    <row r="22" spans="1:21" ht="13.5" customHeight="1">
      <c r="A22" s="139"/>
      <c r="B22" s="73"/>
      <c r="C22" s="74"/>
      <c r="D22" s="216">
        <v>12345</v>
      </c>
      <c r="E22" s="216"/>
      <c r="F22" s="112" t="s">
        <v>97</v>
      </c>
      <c r="G22" s="112" t="s">
        <v>97</v>
      </c>
      <c r="H22" s="112"/>
      <c r="I22" s="112"/>
      <c r="J22" s="112"/>
      <c r="K22" s="112"/>
      <c r="L22" s="112"/>
      <c r="M22" s="112"/>
      <c r="N22" s="112"/>
      <c r="O22" s="112"/>
      <c r="P22" s="112"/>
      <c r="Q22" s="112"/>
      <c r="R22" s="112"/>
      <c r="S22" s="112"/>
      <c r="T22" s="138"/>
    </row>
    <row r="23" spans="1:21" ht="13.5" customHeight="1">
      <c r="A23" s="139"/>
      <c r="B23" s="73"/>
      <c r="C23" s="74"/>
      <c r="D23" s="75" t="s">
        <v>48</v>
      </c>
      <c r="E23" s="80"/>
      <c r="F23" s="112"/>
      <c r="G23" s="112"/>
      <c r="H23" s="112"/>
      <c r="I23" s="112"/>
      <c r="J23" s="112"/>
      <c r="K23" s="112"/>
      <c r="L23" s="112"/>
      <c r="M23" s="112"/>
      <c r="N23" s="112"/>
      <c r="O23" s="112"/>
      <c r="P23" s="112"/>
      <c r="Q23" s="112"/>
      <c r="R23" s="112"/>
      <c r="S23" s="112"/>
      <c r="T23" s="138"/>
    </row>
    <row r="24" spans="1:21" ht="13.5" customHeight="1">
      <c r="A24" s="139"/>
      <c r="B24" s="73"/>
      <c r="C24" s="74"/>
      <c r="D24" s="174" t="s">
        <v>115</v>
      </c>
      <c r="E24" s="80"/>
      <c r="F24" s="112"/>
      <c r="G24" s="112"/>
      <c r="H24" s="112"/>
      <c r="I24" s="112"/>
      <c r="J24" s="112"/>
      <c r="K24" s="112"/>
      <c r="L24" s="112"/>
      <c r="M24" s="112"/>
      <c r="N24" s="112"/>
      <c r="O24" s="112"/>
      <c r="P24" s="112"/>
      <c r="Q24" s="112"/>
      <c r="R24" s="112"/>
      <c r="S24" s="112"/>
      <c r="T24" s="138"/>
    </row>
    <row r="25" spans="1:21" ht="13.5" customHeight="1">
      <c r="A25" s="139"/>
      <c r="B25" s="73"/>
      <c r="C25" s="74"/>
      <c r="D25" s="75" t="s">
        <v>104</v>
      </c>
      <c r="E25" s="80"/>
      <c r="F25" s="112"/>
      <c r="G25" s="112"/>
      <c r="H25" s="112"/>
      <c r="I25" s="112"/>
      <c r="J25" s="112"/>
      <c r="K25" s="112"/>
      <c r="L25" s="112"/>
      <c r="M25" s="112"/>
      <c r="N25" s="112"/>
      <c r="O25" s="112"/>
      <c r="P25" s="112"/>
      <c r="Q25" s="112"/>
      <c r="R25" s="112"/>
      <c r="S25" s="112"/>
      <c r="T25" s="138"/>
    </row>
    <row r="26" spans="1:21" ht="13.5" customHeight="1">
      <c r="A26" s="139"/>
      <c r="B26" s="73"/>
      <c r="C26" s="74"/>
      <c r="D26" s="75"/>
      <c r="E26" s="80"/>
      <c r="F26" s="112"/>
      <c r="G26" s="112"/>
      <c r="H26" s="112"/>
      <c r="I26" s="112"/>
      <c r="J26" s="112"/>
      <c r="K26" s="112"/>
      <c r="L26" s="112"/>
      <c r="M26" s="112"/>
      <c r="N26" s="112"/>
      <c r="O26" s="112"/>
      <c r="P26" s="112"/>
      <c r="Q26" s="112"/>
      <c r="R26" s="112"/>
      <c r="S26" s="112"/>
      <c r="T26" s="138"/>
    </row>
    <row r="27" spans="1:21" ht="13.5" customHeight="1">
      <c r="A27" s="139"/>
      <c r="B27" s="73"/>
      <c r="C27" s="74"/>
      <c r="D27" s="75"/>
      <c r="E27" s="80"/>
      <c r="F27" s="112"/>
      <c r="G27" s="112"/>
      <c r="H27" s="112"/>
      <c r="I27" s="112"/>
      <c r="J27" s="112"/>
      <c r="K27" s="112"/>
      <c r="L27" s="112"/>
      <c r="M27" s="112"/>
      <c r="N27" s="112"/>
      <c r="O27" s="112"/>
      <c r="P27" s="112"/>
      <c r="Q27" s="112"/>
      <c r="R27" s="112"/>
      <c r="S27" s="112"/>
      <c r="T27" s="138"/>
    </row>
    <row r="28" spans="1:21" ht="13.5" customHeight="1">
      <c r="A28" s="139"/>
      <c r="B28" s="73"/>
      <c r="C28" s="74"/>
      <c r="D28" s="75"/>
      <c r="E28" s="80"/>
      <c r="F28" s="112"/>
      <c r="G28" s="112"/>
      <c r="H28" s="112"/>
      <c r="I28" s="112"/>
      <c r="J28" s="112"/>
      <c r="K28" s="112"/>
      <c r="L28" s="112"/>
      <c r="M28" s="112"/>
      <c r="N28" s="112"/>
      <c r="O28" s="112"/>
      <c r="P28" s="112"/>
      <c r="Q28" s="112"/>
      <c r="R28" s="112"/>
      <c r="S28" s="112"/>
      <c r="T28" s="138"/>
    </row>
    <row r="29" spans="1:21" ht="13.5" customHeight="1">
      <c r="A29" s="139"/>
      <c r="B29" s="73"/>
      <c r="C29" s="74"/>
      <c r="D29" s="75"/>
      <c r="E29" s="80"/>
      <c r="F29" s="112"/>
      <c r="G29" s="112"/>
      <c r="H29" s="112"/>
      <c r="I29" s="112"/>
      <c r="J29" s="112"/>
      <c r="K29" s="112"/>
      <c r="L29" s="112"/>
      <c r="M29" s="112"/>
      <c r="N29" s="112"/>
      <c r="O29" s="112"/>
      <c r="P29" s="112"/>
      <c r="Q29" s="112"/>
      <c r="R29" s="112"/>
      <c r="S29" s="112"/>
      <c r="T29" s="138"/>
    </row>
    <row r="30" spans="1:21" ht="13.5" customHeight="1">
      <c r="A30" s="139"/>
      <c r="B30" s="73"/>
      <c r="C30" s="74"/>
      <c r="D30" s="75"/>
      <c r="E30" s="80"/>
      <c r="F30" s="112"/>
      <c r="G30" s="112"/>
      <c r="H30" s="112"/>
      <c r="I30" s="112"/>
      <c r="J30" s="112"/>
      <c r="K30" s="112"/>
      <c r="L30" s="112"/>
      <c r="M30" s="112"/>
      <c r="N30" s="112"/>
      <c r="O30" s="112"/>
      <c r="P30" s="112"/>
      <c r="Q30" s="112"/>
      <c r="R30" s="112"/>
      <c r="S30" s="112"/>
      <c r="T30" s="138"/>
    </row>
    <row r="31" spans="1:21" ht="13.5" customHeight="1">
      <c r="A31" s="139"/>
      <c r="B31" s="73"/>
      <c r="C31" s="74"/>
      <c r="D31" s="75"/>
      <c r="E31" s="80"/>
      <c r="F31" s="112"/>
      <c r="G31" s="112"/>
      <c r="H31" s="112"/>
      <c r="I31" s="112"/>
      <c r="J31" s="112"/>
      <c r="K31" s="112"/>
      <c r="L31" s="112"/>
      <c r="M31" s="112"/>
      <c r="N31" s="112"/>
      <c r="O31" s="112"/>
      <c r="P31" s="112"/>
      <c r="Q31" s="112"/>
      <c r="R31" s="112"/>
      <c r="S31" s="112"/>
      <c r="T31" s="138"/>
    </row>
    <row r="32" spans="1:21" ht="13.5" customHeight="1">
      <c r="A32" s="139"/>
      <c r="B32" s="73"/>
      <c r="C32" s="74"/>
      <c r="D32" s="75"/>
      <c r="E32" s="80"/>
      <c r="F32" s="112"/>
      <c r="G32" s="112"/>
      <c r="H32" s="112"/>
      <c r="I32" s="112"/>
      <c r="J32" s="112"/>
      <c r="K32" s="112"/>
      <c r="L32" s="112"/>
      <c r="M32" s="112"/>
      <c r="N32" s="112"/>
      <c r="O32" s="112"/>
      <c r="P32" s="112"/>
      <c r="Q32" s="112"/>
      <c r="R32" s="112"/>
      <c r="S32" s="112"/>
      <c r="T32" s="138"/>
    </row>
    <row r="33" spans="1:25" ht="13.5" customHeight="1" thickBot="1">
      <c r="A33" s="139"/>
      <c r="B33" s="82"/>
      <c r="C33" s="83"/>
      <c r="D33" s="84"/>
      <c r="E33" s="85"/>
      <c r="F33" s="114"/>
      <c r="G33" s="114"/>
      <c r="H33" s="114"/>
      <c r="I33" s="114"/>
      <c r="J33" s="114"/>
      <c r="K33" s="114"/>
      <c r="L33" s="114"/>
      <c r="M33" s="114"/>
      <c r="N33" s="114"/>
      <c r="O33" s="114"/>
      <c r="P33" s="114"/>
      <c r="Q33" s="114"/>
      <c r="R33" s="114"/>
      <c r="S33" s="114"/>
      <c r="T33" s="140"/>
    </row>
    <row r="34" spans="1:25" ht="13.5" customHeight="1" thickTop="1">
      <c r="A34" s="152" t="s">
        <v>83</v>
      </c>
      <c r="B34" s="87" t="s">
        <v>84</v>
      </c>
      <c r="C34" s="88"/>
      <c r="D34" s="89"/>
      <c r="E34" s="90"/>
      <c r="F34" s="115"/>
      <c r="G34" s="115"/>
      <c r="H34" s="115"/>
      <c r="I34" s="115"/>
      <c r="J34" s="115"/>
      <c r="K34" s="115"/>
      <c r="L34" s="115"/>
      <c r="M34" s="115"/>
      <c r="N34" s="115"/>
      <c r="O34" s="115"/>
      <c r="P34" s="115"/>
      <c r="Q34" s="115"/>
      <c r="R34" s="115"/>
      <c r="S34" s="115"/>
      <c r="T34" s="141"/>
    </row>
    <row r="35" spans="1:25" ht="13.5" customHeight="1">
      <c r="A35" s="151"/>
      <c r="B35" s="92"/>
      <c r="C35" s="93"/>
      <c r="D35" s="94" t="s">
        <v>103</v>
      </c>
      <c r="E35" s="95"/>
      <c r="F35" s="112" t="s">
        <v>97</v>
      </c>
      <c r="G35" s="112"/>
      <c r="H35" s="112"/>
      <c r="I35" s="112"/>
      <c r="J35" s="112"/>
      <c r="K35" s="112"/>
      <c r="L35" s="112"/>
      <c r="M35" s="112"/>
      <c r="N35" s="112"/>
      <c r="O35" s="112"/>
      <c r="P35" s="112"/>
      <c r="Q35" s="112"/>
      <c r="R35" s="112"/>
      <c r="S35" s="112"/>
      <c r="T35" s="138"/>
      <c r="X35" s="175" t="s">
        <v>130</v>
      </c>
    </row>
    <row r="36" spans="1:25" ht="13.5" customHeight="1">
      <c r="A36" s="151"/>
      <c r="B36" s="92"/>
      <c r="C36" s="116"/>
      <c r="D36" s="94" t="s">
        <v>56</v>
      </c>
      <c r="E36" s="97"/>
      <c r="F36" s="112"/>
      <c r="G36" s="112" t="s">
        <v>97</v>
      </c>
      <c r="H36" s="112"/>
      <c r="I36" s="112"/>
      <c r="J36" s="112"/>
      <c r="K36" s="112"/>
      <c r="L36" s="112"/>
      <c r="M36" s="112"/>
      <c r="N36" s="112"/>
      <c r="O36" s="112"/>
      <c r="P36" s="112"/>
      <c r="Q36" s="112"/>
      <c r="R36" s="112"/>
      <c r="S36" s="112"/>
      <c r="T36" s="138"/>
      <c r="Y36" s="65" t="s">
        <v>131</v>
      </c>
    </row>
    <row r="37" spans="1:25" ht="13.5" customHeight="1">
      <c r="A37" s="151"/>
      <c r="B37" s="92" t="s">
        <v>85</v>
      </c>
      <c r="C37" s="116"/>
      <c r="D37" s="94"/>
      <c r="E37" s="97"/>
      <c r="F37" s="112"/>
      <c r="G37" s="112"/>
      <c r="H37" s="112"/>
      <c r="I37" s="112"/>
      <c r="J37" s="112"/>
      <c r="K37" s="112"/>
      <c r="L37" s="112"/>
      <c r="M37" s="112"/>
      <c r="N37" s="112"/>
      <c r="O37" s="112"/>
      <c r="P37" s="112"/>
      <c r="Q37" s="112"/>
      <c r="R37" s="112"/>
      <c r="S37" s="112"/>
      <c r="T37" s="138"/>
      <c r="Y37" s="65" t="s">
        <v>132</v>
      </c>
    </row>
    <row r="38" spans="1:25" ht="13.5" customHeight="1">
      <c r="A38" s="151"/>
      <c r="B38" s="92"/>
      <c r="C38" s="116"/>
      <c r="D38" s="94"/>
      <c r="E38" s="97"/>
      <c r="F38" s="112"/>
      <c r="G38" s="112"/>
      <c r="H38" s="112"/>
      <c r="I38" s="112"/>
      <c r="J38" s="112" t="s">
        <v>97</v>
      </c>
      <c r="K38" s="112"/>
      <c r="L38" s="112"/>
      <c r="M38" s="112"/>
      <c r="N38" s="112"/>
      <c r="O38" s="112"/>
      <c r="P38" s="112"/>
      <c r="Q38" s="112"/>
      <c r="R38" s="112"/>
      <c r="S38" s="112"/>
      <c r="T38" s="138"/>
      <c r="Y38" s="65" t="s">
        <v>133</v>
      </c>
    </row>
    <row r="39" spans="1:25" ht="13.5" customHeight="1">
      <c r="A39" s="151"/>
      <c r="B39" s="92"/>
      <c r="C39" s="116"/>
      <c r="D39" s="94"/>
      <c r="E39" s="97"/>
      <c r="F39" s="112"/>
      <c r="G39" s="112"/>
      <c r="H39" s="112"/>
      <c r="I39" s="112"/>
      <c r="J39" s="112"/>
      <c r="K39" s="112"/>
      <c r="L39" s="112"/>
      <c r="M39" s="112"/>
      <c r="N39" s="112"/>
      <c r="O39" s="112"/>
      <c r="P39" s="112"/>
      <c r="Q39" s="112"/>
      <c r="R39" s="112"/>
      <c r="S39" s="112"/>
      <c r="T39" s="138"/>
    </row>
    <row r="40" spans="1:25" ht="13.5" customHeight="1">
      <c r="A40" s="151"/>
      <c r="B40" s="92"/>
      <c r="C40" s="116"/>
      <c r="D40" s="94"/>
      <c r="E40" s="97"/>
      <c r="F40" s="112"/>
      <c r="G40" s="112"/>
      <c r="H40" s="112"/>
      <c r="I40" s="112"/>
      <c r="J40" s="112"/>
      <c r="K40" s="112"/>
      <c r="L40" s="112"/>
      <c r="M40" s="112"/>
      <c r="N40" s="112"/>
      <c r="O40" s="112"/>
      <c r="P40" s="112"/>
      <c r="Q40" s="112"/>
      <c r="R40" s="112"/>
      <c r="S40" s="112"/>
      <c r="T40" s="138"/>
    </row>
    <row r="41" spans="1:25" ht="13.5" customHeight="1" thickBot="1">
      <c r="A41" s="151"/>
      <c r="B41" s="125"/>
      <c r="C41" s="126"/>
      <c r="D41" s="127"/>
      <c r="E41" s="128"/>
      <c r="F41" s="129"/>
      <c r="G41" s="129"/>
      <c r="H41" s="129"/>
      <c r="I41" s="129"/>
      <c r="J41" s="129"/>
      <c r="K41" s="129"/>
      <c r="L41" s="129"/>
      <c r="M41" s="129"/>
      <c r="N41" s="129"/>
      <c r="O41" s="129"/>
      <c r="P41" s="129"/>
      <c r="Q41" s="129"/>
      <c r="R41" s="129"/>
      <c r="S41" s="129"/>
      <c r="T41" s="142"/>
    </row>
    <row r="42" spans="1:25" ht="13.5" customHeight="1" thickTop="1">
      <c r="A42" s="152" t="s">
        <v>49</v>
      </c>
      <c r="B42" s="213" t="s">
        <v>50</v>
      </c>
      <c r="C42" s="213"/>
      <c r="D42" s="213"/>
      <c r="E42" s="130"/>
      <c r="F42" s="131" t="s">
        <v>53</v>
      </c>
      <c r="G42" s="131" t="s">
        <v>51</v>
      </c>
      <c r="H42" s="131" t="s">
        <v>51</v>
      </c>
      <c r="I42" s="131" t="s">
        <v>51</v>
      </c>
      <c r="J42" s="131" t="s">
        <v>51</v>
      </c>
      <c r="K42" s="131" t="s">
        <v>52</v>
      </c>
      <c r="L42" s="131" t="s">
        <v>53</v>
      </c>
      <c r="M42" s="131" t="s">
        <v>51</v>
      </c>
      <c r="N42" s="131" t="s">
        <v>51</v>
      </c>
      <c r="O42" s="131" t="s">
        <v>51</v>
      </c>
      <c r="P42" s="131" t="s">
        <v>51</v>
      </c>
      <c r="Q42" s="131" t="s">
        <v>51</v>
      </c>
      <c r="R42" s="131" t="s">
        <v>53</v>
      </c>
      <c r="S42" s="131" t="s">
        <v>51</v>
      </c>
      <c r="T42" s="143" t="s">
        <v>51</v>
      </c>
    </row>
    <row r="43" spans="1:25" ht="13.5" customHeight="1">
      <c r="A43" s="151"/>
      <c r="B43" s="233" t="s">
        <v>54</v>
      </c>
      <c r="C43" s="233"/>
      <c r="D43" s="233"/>
      <c r="E43" s="99"/>
      <c r="F43" s="117" t="s">
        <v>55</v>
      </c>
      <c r="G43" s="117" t="s">
        <v>55</v>
      </c>
      <c r="H43" s="117" t="s">
        <v>55</v>
      </c>
      <c r="I43" s="117" t="s">
        <v>55</v>
      </c>
      <c r="J43" s="117" t="s">
        <v>55</v>
      </c>
      <c r="K43" s="117" t="s">
        <v>56</v>
      </c>
      <c r="L43" s="117" t="s">
        <v>56</v>
      </c>
      <c r="M43" s="117" t="s">
        <v>55</v>
      </c>
      <c r="N43" s="117" t="s">
        <v>55</v>
      </c>
      <c r="O43" s="117" t="s">
        <v>55</v>
      </c>
      <c r="P43" s="117" t="s">
        <v>55</v>
      </c>
      <c r="Q43" s="117" t="s">
        <v>55</v>
      </c>
      <c r="R43" s="117"/>
      <c r="S43" s="117" t="s">
        <v>55</v>
      </c>
      <c r="T43" s="145" t="s">
        <v>55</v>
      </c>
    </row>
    <row r="44" spans="1:25" ht="44.4" customHeight="1">
      <c r="A44" s="151"/>
      <c r="B44" s="211" t="s">
        <v>57</v>
      </c>
      <c r="C44" s="211"/>
      <c r="D44" s="211"/>
      <c r="E44" s="100"/>
      <c r="F44" s="101">
        <v>39139</v>
      </c>
      <c r="G44" s="101">
        <v>39139</v>
      </c>
      <c r="H44" s="101">
        <v>39140</v>
      </c>
      <c r="I44" s="101">
        <v>39141</v>
      </c>
      <c r="J44" s="101">
        <v>39142</v>
      </c>
      <c r="K44" s="101">
        <v>39143</v>
      </c>
      <c r="L44" s="101">
        <v>39144</v>
      </c>
      <c r="M44" s="101">
        <v>39145</v>
      </c>
      <c r="N44" s="101">
        <v>39146</v>
      </c>
      <c r="O44" s="101">
        <v>39147</v>
      </c>
      <c r="P44" s="101">
        <v>39148</v>
      </c>
      <c r="Q44" s="101">
        <v>39149</v>
      </c>
      <c r="R44" s="101">
        <v>39150</v>
      </c>
      <c r="S44" s="101">
        <v>39151</v>
      </c>
      <c r="T44" s="146">
        <v>39152</v>
      </c>
    </row>
    <row r="45" spans="1:25" ht="73.2" thickBot="1">
      <c r="A45" s="166"/>
      <c r="B45" s="212" t="s">
        <v>58</v>
      </c>
      <c r="C45" s="212"/>
      <c r="D45" s="212"/>
      <c r="E45" s="148"/>
      <c r="F45" s="149"/>
      <c r="G45" s="149"/>
      <c r="H45" s="149"/>
      <c r="I45" s="149"/>
      <c r="J45" s="149"/>
      <c r="K45" s="149" t="s">
        <v>59</v>
      </c>
      <c r="L45" s="149" t="s">
        <v>60</v>
      </c>
      <c r="M45" s="149" t="s">
        <v>61</v>
      </c>
      <c r="N45" s="149" t="s">
        <v>62</v>
      </c>
      <c r="O45" s="149" t="s">
        <v>63</v>
      </c>
      <c r="P45" s="149" t="s">
        <v>64</v>
      </c>
      <c r="Q45" s="149" t="s">
        <v>65</v>
      </c>
      <c r="R45" s="149" t="s">
        <v>66</v>
      </c>
      <c r="S45" s="149" t="s">
        <v>67</v>
      </c>
      <c r="T45" s="150" t="s">
        <v>68</v>
      </c>
    </row>
    <row r="46" spans="1:25" ht="10.8" thickTop="1">
      <c r="A46" s="132"/>
    </row>
  </sheetData>
  <mergeCells count="28">
    <mergeCell ref="A2:B2"/>
    <mergeCell ref="C2:E2"/>
    <mergeCell ref="F2:K2"/>
    <mergeCell ref="B43:D43"/>
    <mergeCell ref="F7:K7"/>
    <mergeCell ref="C7:E7"/>
    <mergeCell ref="A7:B7"/>
    <mergeCell ref="A3:B3"/>
    <mergeCell ref="A4:B4"/>
    <mergeCell ref="C4:D4"/>
    <mergeCell ref="B44:D44"/>
    <mergeCell ref="B45:D45"/>
    <mergeCell ref="B42:D42"/>
    <mergeCell ref="C3:E3"/>
    <mergeCell ref="D22:E22"/>
    <mergeCell ref="A6:B6"/>
    <mergeCell ref="A5:B5"/>
    <mergeCell ref="C5:T5"/>
    <mergeCell ref="L6:N6"/>
    <mergeCell ref="O7:T7"/>
    <mergeCell ref="O6:T6"/>
    <mergeCell ref="L2:T2"/>
    <mergeCell ref="L3:N3"/>
    <mergeCell ref="C6:E6"/>
    <mergeCell ref="F3:K3"/>
    <mergeCell ref="L4:T4"/>
    <mergeCell ref="F6:K6"/>
    <mergeCell ref="F4:K4"/>
  </mergeCells>
  <phoneticPr fontId="31" type="noConversion"/>
  <dataValidations count="3">
    <dataValidation type="list" allowBlank="1" showInputMessage="1" showErrorMessage="1" sqref="F42:T42" xr:uid="{32DDDFC5-F245-490A-A2A9-A30FF19E1D34}">
      <formula1>"N,A,B, "</formula1>
    </dataValidation>
    <dataValidation type="list" allowBlank="1" showInputMessage="1" showErrorMessage="1" sqref="F43:T43" xr:uid="{FAD00E5F-6357-49A6-ABAB-C6926EE24559}">
      <formula1>"P,F, "</formula1>
    </dataValidation>
    <dataValidation type="list" allowBlank="1" showInputMessage="1" showErrorMessage="1" sqref="F10:T41" xr:uid="{C666FBDE-1CB5-4650-9123-05211EDD32B8}">
      <formula1>"O, "</formula1>
    </dataValidation>
  </dataValidations>
  <hyperlinks>
    <hyperlink ref="D24" r:id="rId1" xr:uid="{75C61C4D-983C-4ACF-AA34-3B3B410C0DA9}"/>
    <hyperlink ref="D20" r:id="rId2" xr:uid="{935951B5-1499-497D-BBC5-E5C915911839}"/>
  </hyperlinks>
  <pageMargins left="0.75" right="0.75" top="0.75" bottom="0.75" header="0.5" footer="0.5"/>
  <pageSetup paperSize="9" orientation="portrait" horizontalDpi="300" verticalDpi="300"/>
  <headerFooter alignWithMargins="0">
    <oddFooter>&amp;L&amp;"Tahoma,Regular"&amp;10 02ae-BM/PM/HDCV/FSOFT v2/1&amp;C&amp;"Tahoma,Regular"&amp;10Internal use&amp;R&amp;"Tahoma,Regular"&amp;10&amp;P/&amp;N</oddFooter>
  </headerFooter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3BB3B3-296B-428E-A1CD-64865A75AE71}">
  <dimension ref="A1:W65"/>
  <sheetViews>
    <sheetView tabSelected="1" topLeftCell="A34" zoomScale="175" zoomScaleNormal="175" workbookViewId="0">
      <selection activeCell="V9" sqref="V9"/>
    </sheetView>
  </sheetViews>
  <sheetFormatPr defaultColWidth="11" defaultRowHeight="13.5" customHeight="1"/>
  <cols>
    <col min="1" max="1" width="23.44140625" style="65" bestFit="1" customWidth="1"/>
    <col min="2" max="2" width="92.33203125" style="69" bestFit="1" customWidth="1"/>
    <col min="3" max="3" width="7.88671875" style="65" bestFit="1" customWidth="1"/>
    <col min="4" max="4" width="64" style="66" bestFit="1" customWidth="1"/>
    <col min="5" max="5" width="56.33203125" style="65" bestFit="1" customWidth="1"/>
    <col min="6" max="6" width="80.77734375" style="65" bestFit="1" customWidth="1"/>
    <col min="7" max="7" width="43.77734375" style="65" bestFit="1" customWidth="1"/>
    <col min="8" max="20" width="9" style="65" bestFit="1" customWidth="1"/>
    <col min="21" max="21" width="7.33203125" style="65" bestFit="1" customWidth="1"/>
    <col min="22" max="16384" width="11" style="65"/>
  </cols>
  <sheetData>
    <row r="1" spans="1:23" ht="13.5" customHeight="1" thickBot="1">
      <c r="A1" s="63"/>
      <c r="B1" s="64"/>
    </row>
    <row r="2" spans="1:23" ht="13.5" customHeight="1">
      <c r="A2" s="226" t="s">
        <v>74</v>
      </c>
      <c r="B2" s="227"/>
      <c r="C2" s="228" t="s">
        <v>148</v>
      </c>
      <c r="D2" s="229"/>
      <c r="E2" s="230"/>
      <c r="F2" s="231" t="s">
        <v>19</v>
      </c>
      <c r="G2" s="232"/>
      <c r="H2" s="232"/>
      <c r="I2" s="232"/>
      <c r="J2" s="232"/>
      <c r="K2" s="232"/>
      <c r="L2" s="198" t="s">
        <v>147</v>
      </c>
      <c r="M2" s="199"/>
      <c r="N2" s="199"/>
      <c r="O2" s="199"/>
      <c r="P2" s="199"/>
      <c r="Q2" s="199"/>
      <c r="R2" s="199"/>
      <c r="S2" s="199"/>
      <c r="T2" s="200"/>
      <c r="V2" s="67"/>
    </row>
    <row r="3" spans="1:23" ht="13.5" customHeight="1">
      <c r="A3" s="219" t="s">
        <v>75</v>
      </c>
      <c r="B3" s="220"/>
      <c r="C3" s="214" t="s">
        <v>152</v>
      </c>
      <c r="D3" s="201"/>
      <c r="E3" s="215"/>
      <c r="F3" s="204" t="s">
        <v>76</v>
      </c>
      <c r="G3" s="205"/>
      <c r="H3" s="205"/>
      <c r="I3" s="205"/>
      <c r="J3" s="205"/>
      <c r="K3" s="206"/>
      <c r="L3" s="201" t="s">
        <v>153</v>
      </c>
      <c r="M3" s="201"/>
      <c r="N3" s="201"/>
      <c r="O3" s="118"/>
      <c r="P3" s="118"/>
      <c r="Q3" s="118"/>
      <c r="R3" s="118"/>
      <c r="S3" s="118"/>
      <c r="T3" s="119"/>
    </row>
    <row r="4" spans="1:23" ht="13.5" customHeight="1">
      <c r="A4" s="219" t="s">
        <v>77</v>
      </c>
      <c r="B4" s="220"/>
      <c r="C4" s="238">
        <v>67</v>
      </c>
      <c r="D4" s="239"/>
      <c r="E4" s="124"/>
      <c r="F4" s="204" t="s">
        <v>78</v>
      </c>
      <c r="G4" s="205"/>
      <c r="H4" s="205"/>
      <c r="I4" s="205"/>
      <c r="J4" s="205"/>
      <c r="K4" s="206"/>
      <c r="L4" s="207">
        <f>IF(FunctionList!E6&lt;&gt;"N/A",SUM(C4*FunctionList!E6/1000,- O7),"N/A")</f>
        <v>-9.3000000000000007</v>
      </c>
      <c r="M4" s="208"/>
      <c r="N4" s="208"/>
      <c r="O4" s="208"/>
      <c r="P4" s="208"/>
      <c r="Q4" s="208"/>
      <c r="R4" s="208"/>
      <c r="S4" s="208"/>
      <c r="T4" s="209"/>
      <c r="V4" s="67"/>
    </row>
    <row r="5" spans="1:23" ht="13.5" customHeight="1">
      <c r="A5" s="219" t="s">
        <v>79</v>
      </c>
      <c r="B5" s="220"/>
      <c r="C5" s="221" t="s">
        <v>154</v>
      </c>
      <c r="D5" s="221"/>
      <c r="E5" s="221"/>
      <c r="F5" s="222"/>
      <c r="G5" s="222"/>
      <c r="H5" s="222"/>
      <c r="I5" s="222"/>
      <c r="J5" s="222"/>
      <c r="K5" s="222"/>
      <c r="L5" s="221"/>
      <c r="M5" s="221"/>
      <c r="N5" s="221"/>
      <c r="O5" s="221"/>
      <c r="P5" s="221"/>
      <c r="Q5" s="221"/>
      <c r="R5" s="221"/>
      <c r="S5" s="221"/>
      <c r="T5" s="221"/>
    </row>
    <row r="6" spans="1:23" ht="13.5" customHeight="1">
      <c r="A6" s="217" t="s">
        <v>27</v>
      </c>
      <c r="B6" s="218"/>
      <c r="C6" s="202" t="s">
        <v>28</v>
      </c>
      <c r="D6" s="196"/>
      <c r="E6" s="203"/>
      <c r="F6" s="202" t="s">
        <v>29</v>
      </c>
      <c r="G6" s="196"/>
      <c r="H6" s="196"/>
      <c r="I6" s="196"/>
      <c r="J6" s="196"/>
      <c r="K6" s="210"/>
      <c r="L6" s="196" t="s">
        <v>155</v>
      </c>
      <c r="M6" s="196"/>
      <c r="N6" s="196"/>
      <c r="O6" s="195" t="s">
        <v>30</v>
      </c>
      <c r="P6" s="196"/>
      <c r="Q6" s="196"/>
      <c r="R6" s="196"/>
      <c r="S6" s="196"/>
      <c r="T6" s="197"/>
      <c r="V6" s="67"/>
    </row>
    <row r="7" spans="1:23" ht="13.5" customHeight="1" thickBot="1">
      <c r="A7" s="237">
        <f>COUNTIF(F43:HQ43,"P")</f>
        <v>16</v>
      </c>
      <c r="B7" s="236"/>
      <c r="C7" s="234">
        <f>COUNTIF(F43:HQ43,"F")</f>
        <v>0</v>
      </c>
      <c r="D7" s="224"/>
      <c r="E7" s="236"/>
      <c r="F7" s="234">
        <f>SUM(O7,- A7,- C7)</f>
        <v>0</v>
      </c>
      <c r="G7" s="224"/>
      <c r="H7" s="224"/>
      <c r="I7" s="224"/>
      <c r="J7" s="224"/>
      <c r="K7" s="235"/>
      <c r="L7" s="120">
        <f>COUNTIF(F42:HQ42,"N")</f>
        <v>3</v>
      </c>
      <c r="M7" s="120">
        <f>COUNTIF(F42:HQ42,"A")</f>
        <v>4</v>
      </c>
      <c r="N7" s="120">
        <f>COUNTIF(F42:HQ42,"B")</f>
        <v>9</v>
      </c>
      <c r="O7" s="223">
        <f>COUNTA(F9:HQ9)</f>
        <v>16</v>
      </c>
      <c r="P7" s="224"/>
      <c r="Q7" s="224"/>
      <c r="R7" s="224"/>
      <c r="S7" s="224"/>
      <c r="T7" s="225"/>
      <c r="U7" s="68"/>
    </row>
    <row r="8" spans="1:23" ht="10.8" thickBot="1"/>
    <row r="9" spans="1:23" ht="45" customHeight="1" thickTop="1" thickBot="1">
      <c r="A9" s="159"/>
      <c r="B9" s="133"/>
      <c r="C9" s="134"/>
      <c r="D9" s="135"/>
      <c r="E9" s="134"/>
      <c r="F9" s="136" t="s">
        <v>32</v>
      </c>
      <c r="G9" s="136" t="s">
        <v>33</v>
      </c>
      <c r="H9" s="136" t="s">
        <v>34</v>
      </c>
      <c r="I9" s="136" t="s">
        <v>35</v>
      </c>
      <c r="J9" s="136" t="s">
        <v>36</v>
      </c>
      <c r="K9" s="136" t="s">
        <v>37</v>
      </c>
      <c r="L9" s="136" t="s">
        <v>38</v>
      </c>
      <c r="M9" s="136" t="s">
        <v>39</v>
      </c>
      <c r="N9" s="136" t="s">
        <v>40</v>
      </c>
      <c r="O9" s="136" t="s">
        <v>41</v>
      </c>
      <c r="P9" s="136" t="s">
        <v>42</v>
      </c>
      <c r="Q9" s="136" t="s">
        <v>43</v>
      </c>
      <c r="R9" s="136" t="s">
        <v>44</v>
      </c>
      <c r="S9" s="136" t="s">
        <v>45</v>
      </c>
      <c r="T9" s="137" t="s">
        <v>46</v>
      </c>
      <c r="U9" s="70" t="s">
        <v>156</v>
      </c>
      <c r="V9" s="71"/>
      <c r="W9" s="72"/>
    </row>
    <row r="10" spans="1:23" ht="13.5" customHeight="1">
      <c r="A10" s="153" t="s">
        <v>81</v>
      </c>
      <c r="B10" s="73" t="s">
        <v>157</v>
      </c>
      <c r="C10" s="74"/>
      <c r="D10" s="75"/>
      <c r="E10" s="76"/>
      <c r="F10" s="77"/>
      <c r="G10" s="77"/>
      <c r="H10" s="77"/>
      <c r="I10" s="77"/>
      <c r="J10" s="77"/>
      <c r="K10" s="77"/>
      <c r="L10" s="77"/>
      <c r="M10" s="77"/>
      <c r="N10" s="77"/>
      <c r="O10" s="77"/>
      <c r="P10" s="77"/>
      <c r="Q10" s="77"/>
      <c r="R10" s="77"/>
      <c r="S10" s="77"/>
      <c r="T10" s="160"/>
    </row>
    <row r="11" spans="1:23" ht="13.5" customHeight="1">
      <c r="A11" s="139"/>
      <c r="B11" s="73" t="s">
        <v>158</v>
      </c>
      <c r="C11" s="74"/>
      <c r="D11" s="75" t="s">
        <v>266</v>
      </c>
      <c r="E11" s="78"/>
      <c r="F11" s="77" t="s">
        <v>97</v>
      </c>
      <c r="G11" s="77" t="s">
        <v>97</v>
      </c>
      <c r="H11" s="77" t="s">
        <v>97</v>
      </c>
      <c r="I11" s="77"/>
      <c r="J11" s="77" t="s">
        <v>97</v>
      </c>
      <c r="K11" s="77"/>
      <c r="L11" s="77"/>
      <c r="M11" s="77" t="s">
        <v>97</v>
      </c>
      <c r="N11" s="77" t="s">
        <v>97</v>
      </c>
      <c r="O11" s="77" t="s">
        <v>97</v>
      </c>
      <c r="P11" s="77" t="s">
        <v>97</v>
      </c>
      <c r="Q11" s="77" t="s">
        <v>97</v>
      </c>
      <c r="R11" s="77" t="s">
        <v>97</v>
      </c>
      <c r="S11" s="77" t="s">
        <v>97</v>
      </c>
      <c r="T11" s="160" t="s">
        <v>97</v>
      </c>
      <c r="U11" s="65" t="s">
        <v>97</v>
      </c>
      <c r="V11" s="67"/>
    </row>
    <row r="12" spans="1:23" ht="13.5" customHeight="1">
      <c r="A12" s="139"/>
      <c r="B12" s="73"/>
      <c r="C12" s="74"/>
      <c r="D12" s="75" t="s">
        <v>267</v>
      </c>
      <c r="E12" s="78"/>
      <c r="F12" s="77"/>
      <c r="G12" s="77"/>
      <c r="H12" s="77"/>
      <c r="I12" s="77" t="s">
        <v>97</v>
      </c>
      <c r="J12" s="77"/>
      <c r="K12" s="77"/>
      <c r="L12" s="77"/>
      <c r="M12" s="77"/>
      <c r="N12" s="77"/>
      <c r="O12" s="77"/>
      <c r="P12" s="77"/>
      <c r="Q12" s="77"/>
      <c r="R12" s="77"/>
      <c r="S12" s="77"/>
      <c r="T12" s="160"/>
    </row>
    <row r="13" spans="1:23" ht="13.5" customHeight="1">
      <c r="A13" s="139"/>
      <c r="B13" s="73" t="s">
        <v>159</v>
      </c>
      <c r="C13" s="74"/>
      <c r="D13" s="75"/>
      <c r="E13" s="79"/>
      <c r="F13" s="77"/>
      <c r="G13" s="77"/>
      <c r="H13" s="77"/>
      <c r="I13" s="77"/>
      <c r="J13" s="77"/>
      <c r="K13" s="77"/>
      <c r="L13" s="77"/>
      <c r="M13" s="77"/>
      <c r="N13" s="77"/>
      <c r="O13" s="77"/>
      <c r="P13" s="77"/>
      <c r="Q13" s="77"/>
      <c r="R13" s="77"/>
      <c r="S13" s="77"/>
      <c r="T13" s="160"/>
    </row>
    <row r="14" spans="1:23" ht="13.5" customHeight="1">
      <c r="A14" s="139"/>
      <c r="B14" s="73"/>
      <c r="C14" s="74"/>
      <c r="D14" s="75" t="s">
        <v>268</v>
      </c>
      <c r="E14" s="80"/>
      <c r="F14" s="77" t="s">
        <v>97</v>
      </c>
      <c r="G14" s="77" t="s">
        <v>97</v>
      </c>
      <c r="H14" s="77" t="s">
        <v>97</v>
      </c>
      <c r="I14" s="77"/>
      <c r="J14" s="77"/>
      <c r="K14" s="77"/>
      <c r="L14" s="77"/>
      <c r="M14" s="77" t="s">
        <v>97</v>
      </c>
      <c r="N14" s="77" t="s">
        <v>97</v>
      </c>
      <c r="O14" s="77" t="s">
        <v>97</v>
      </c>
      <c r="P14" s="77" t="s">
        <v>97</v>
      </c>
      <c r="Q14" s="77" t="s">
        <v>97</v>
      </c>
      <c r="R14" s="77" t="s">
        <v>97</v>
      </c>
      <c r="S14" s="77" t="s">
        <v>97</v>
      </c>
      <c r="T14" s="160"/>
      <c r="U14" s="65" t="s">
        <v>97</v>
      </c>
    </row>
    <row r="15" spans="1:23" ht="13.5" customHeight="1">
      <c r="A15" s="139"/>
      <c r="B15" s="73"/>
      <c r="C15" s="74"/>
      <c r="D15" s="75" t="s">
        <v>269</v>
      </c>
      <c r="E15" s="80"/>
      <c r="F15" s="77"/>
      <c r="G15" s="77"/>
      <c r="H15" s="77"/>
      <c r="I15" s="77"/>
      <c r="J15" s="77" t="s">
        <v>97</v>
      </c>
      <c r="K15" s="77"/>
      <c r="L15" s="77"/>
      <c r="M15" s="77"/>
      <c r="N15" s="77"/>
      <c r="O15" s="77"/>
      <c r="P15" s="77"/>
      <c r="Q15" s="77"/>
      <c r="R15" s="77"/>
      <c r="S15" s="77"/>
      <c r="T15" s="160"/>
    </row>
    <row r="16" spans="1:23" ht="13.5" customHeight="1">
      <c r="A16" s="139"/>
      <c r="B16" s="73"/>
      <c r="C16" s="74"/>
      <c r="D16" s="75" t="s">
        <v>270</v>
      </c>
      <c r="E16" s="80"/>
      <c r="F16" s="77"/>
      <c r="G16" s="77"/>
      <c r="H16" s="77"/>
      <c r="I16" s="77"/>
      <c r="J16" s="77"/>
      <c r="K16" s="77"/>
      <c r="L16" s="77"/>
      <c r="M16" s="77"/>
      <c r="N16" s="77"/>
      <c r="O16" s="77"/>
      <c r="P16" s="77"/>
      <c r="Q16" s="77"/>
      <c r="R16" s="77"/>
      <c r="S16" s="77"/>
      <c r="T16" s="160" t="s">
        <v>97</v>
      </c>
    </row>
    <row r="17" spans="1:21" ht="13.5" customHeight="1">
      <c r="A17" s="139"/>
      <c r="B17" s="73" t="s">
        <v>160</v>
      </c>
      <c r="C17" s="74"/>
      <c r="D17" s="75"/>
      <c r="E17" s="80"/>
      <c r="F17" s="77"/>
      <c r="G17" s="77"/>
      <c r="H17" s="77"/>
      <c r="I17" s="77"/>
      <c r="J17" s="77"/>
      <c r="K17" s="77"/>
      <c r="L17" s="77"/>
      <c r="M17" s="77"/>
      <c r="N17" s="77"/>
      <c r="O17" s="77"/>
      <c r="P17" s="77"/>
      <c r="Q17" s="77"/>
      <c r="R17" s="77"/>
      <c r="S17" s="77"/>
      <c r="T17" s="160"/>
      <c r="U17" s="81"/>
    </row>
    <row r="18" spans="1:21" ht="13.5" customHeight="1">
      <c r="A18" s="139"/>
      <c r="B18" s="73"/>
      <c r="C18" s="74"/>
      <c r="D18" s="75" t="s">
        <v>261</v>
      </c>
      <c r="E18" s="80"/>
      <c r="F18" s="77" t="s">
        <v>97</v>
      </c>
      <c r="G18" s="77"/>
      <c r="H18" s="77" t="s">
        <v>97</v>
      </c>
      <c r="I18" s="77"/>
      <c r="J18" s="77"/>
      <c r="K18" s="77"/>
      <c r="L18" s="77"/>
      <c r="M18" s="77" t="s">
        <v>97</v>
      </c>
      <c r="N18" s="77" t="s">
        <v>97</v>
      </c>
      <c r="O18" s="77" t="s">
        <v>97</v>
      </c>
      <c r="P18" s="77" t="s">
        <v>97</v>
      </c>
      <c r="Q18" s="77"/>
      <c r="R18" s="77"/>
      <c r="S18" s="77"/>
      <c r="T18" s="160"/>
      <c r="U18" s="81"/>
    </row>
    <row r="19" spans="1:21" ht="13.5" customHeight="1">
      <c r="A19" s="139"/>
      <c r="B19" s="73"/>
      <c r="C19" s="74"/>
      <c r="D19" s="75" t="s">
        <v>262</v>
      </c>
      <c r="E19" s="80"/>
      <c r="F19" s="77"/>
      <c r="G19" s="77" t="s">
        <v>97</v>
      </c>
      <c r="H19" s="77"/>
      <c r="I19" s="77"/>
      <c r="J19" s="77" t="s">
        <v>97</v>
      </c>
      <c r="K19" s="77"/>
      <c r="L19" s="77"/>
      <c r="M19" s="77"/>
      <c r="N19" s="77"/>
      <c r="O19" s="77"/>
      <c r="P19" s="77"/>
      <c r="Q19" s="77" t="s">
        <v>97</v>
      </c>
      <c r="R19" s="77"/>
      <c r="S19" s="77"/>
      <c r="T19" s="160"/>
      <c r="U19" s="81"/>
    </row>
    <row r="20" spans="1:21" ht="13.5" customHeight="1">
      <c r="A20" s="139"/>
      <c r="B20" s="73"/>
      <c r="C20" s="74"/>
      <c r="D20" s="216" t="s">
        <v>263</v>
      </c>
      <c r="E20" s="216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7" t="s">
        <v>97</v>
      </c>
      <c r="S20" s="77"/>
      <c r="T20" s="160"/>
    </row>
    <row r="21" spans="1:21" ht="13.5" customHeight="1">
      <c r="A21" s="139"/>
      <c r="B21" s="73"/>
      <c r="C21" s="74"/>
      <c r="D21" s="75" t="s">
        <v>264</v>
      </c>
      <c r="E21" s="80"/>
      <c r="F21" s="77"/>
      <c r="G21" s="77"/>
      <c r="H21" s="77"/>
      <c r="I21" s="77"/>
      <c r="J21" s="77"/>
      <c r="K21" s="77"/>
      <c r="L21" s="77"/>
      <c r="M21" s="77"/>
      <c r="N21" s="77"/>
      <c r="O21" s="77"/>
      <c r="P21" s="77"/>
      <c r="Q21" s="77"/>
      <c r="R21" s="77"/>
      <c r="S21" s="77" t="s">
        <v>97</v>
      </c>
      <c r="T21" s="160"/>
    </row>
    <row r="22" spans="1:21" ht="13.5" customHeight="1">
      <c r="A22" s="139"/>
      <c r="B22" s="73"/>
      <c r="C22" s="74"/>
      <c r="D22" s="75" t="s">
        <v>265</v>
      </c>
      <c r="E22" s="80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7"/>
      <c r="S22" s="77"/>
      <c r="T22" s="160"/>
      <c r="U22" s="65" t="s">
        <v>97</v>
      </c>
    </row>
    <row r="23" spans="1:21" ht="13.5" customHeight="1">
      <c r="A23" s="139"/>
      <c r="B23" s="73" t="s">
        <v>161</v>
      </c>
      <c r="C23" s="74"/>
      <c r="D23" s="75"/>
      <c r="E23" s="80"/>
      <c r="F23" s="77"/>
      <c r="G23" s="77"/>
      <c r="H23" s="77"/>
      <c r="I23" s="77"/>
      <c r="J23" s="77"/>
      <c r="K23" s="77"/>
      <c r="L23" s="77"/>
      <c r="M23" s="77"/>
      <c r="N23" s="77"/>
      <c r="O23" s="77"/>
      <c r="P23" s="77"/>
      <c r="Q23" s="77"/>
      <c r="R23" s="77"/>
      <c r="S23" s="77"/>
      <c r="T23" s="160"/>
    </row>
    <row r="24" spans="1:21" ht="13.5" customHeight="1">
      <c r="A24" s="139"/>
      <c r="B24" s="73"/>
      <c r="C24" s="74"/>
      <c r="D24" s="75" t="s">
        <v>162</v>
      </c>
      <c r="E24" s="80"/>
      <c r="F24" s="77"/>
      <c r="G24" s="77"/>
      <c r="H24" s="77"/>
      <c r="I24" s="77"/>
      <c r="J24" s="77"/>
      <c r="K24" s="77"/>
      <c r="L24" s="77"/>
      <c r="M24" s="77" t="s">
        <v>97</v>
      </c>
      <c r="N24" s="77"/>
      <c r="O24" s="77"/>
      <c r="P24" s="77"/>
      <c r="Q24" s="77"/>
      <c r="R24" s="77"/>
      <c r="S24" s="77"/>
      <c r="T24" s="160"/>
    </row>
    <row r="25" spans="1:21" ht="13.5" customHeight="1">
      <c r="A25" s="139"/>
      <c r="B25" s="73"/>
      <c r="C25" s="74"/>
      <c r="D25" s="75" t="s">
        <v>271</v>
      </c>
      <c r="E25" s="80"/>
      <c r="F25" s="77" t="s">
        <v>97</v>
      </c>
      <c r="G25" s="77"/>
      <c r="H25" s="77"/>
      <c r="I25" s="77"/>
      <c r="J25" s="77"/>
      <c r="K25" s="77"/>
      <c r="L25" s="77"/>
      <c r="M25" s="77"/>
      <c r="N25" s="77"/>
      <c r="O25" s="77"/>
      <c r="P25" s="77"/>
      <c r="Q25" s="77"/>
      <c r="R25" s="77"/>
      <c r="S25" s="77"/>
      <c r="T25" s="160"/>
    </row>
    <row r="26" spans="1:21" ht="13.5" customHeight="1">
      <c r="A26" s="139"/>
      <c r="B26" s="73"/>
      <c r="C26" s="74"/>
      <c r="D26" s="75" t="s">
        <v>272</v>
      </c>
      <c r="E26" s="80"/>
      <c r="F26" s="77"/>
      <c r="G26" s="77"/>
      <c r="H26" s="77" t="s">
        <v>97</v>
      </c>
      <c r="I26" s="77"/>
      <c r="J26" s="77"/>
      <c r="K26" s="77"/>
      <c r="L26" s="77"/>
      <c r="M26" s="77"/>
      <c r="N26" s="77"/>
      <c r="O26" s="77"/>
      <c r="P26" s="77"/>
      <c r="Q26" s="77"/>
      <c r="R26" s="77"/>
      <c r="S26" s="77"/>
      <c r="T26" s="160"/>
    </row>
    <row r="27" spans="1:21" ht="13.5" customHeight="1">
      <c r="A27" s="139"/>
      <c r="B27" s="73"/>
      <c r="C27" s="74"/>
      <c r="D27" s="75" t="s">
        <v>273</v>
      </c>
      <c r="E27" s="80"/>
      <c r="F27" s="77"/>
      <c r="G27" s="77"/>
      <c r="H27" s="77"/>
      <c r="I27" s="77"/>
      <c r="J27" s="77"/>
      <c r="K27" s="77"/>
      <c r="L27" s="77"/>
      <c r="M27" s="77"/>
      <c r="N27" s="77" t="s">
        <v>97</v>
      </c>
      <c r="O27" s="77"/>
      <c r="P27" s="77"/>
      <c r="Q27" s="77"/>
      <c r="R27" s="77"/>
      <c r="S27" s="77"/>
      <c r="T27" s="160"/>
    </row>
    <row r="28" spans="1:21" ht="13.5" customHeight="1">
      <c r="A28" s="139"/>
      <c r="B28" s="73"/>
      <c r="C28" s="74"/>
      <c r="D28" s="75" t="s">
        <v>274</v>
      </c>
      <c r="E28" s="80"/>
      <c r="F28" s="77"/>
      <c r="G28" s="77"/>
      <c r="H28" s="77"/>
      <c r="I28" s="77"/>
      <c r="J28" s="77"/>
      <c r="K28" s="77"/>
      <c r="L28" s="77"/>
      <c r="M28" s="77"/>
      <c r="N28" s="77"/>
      <c r="O28" s="77" t="s">
        <v>97</v>
      </c>
      <c r="P28" s="77"/>
      <c r="Q28" s="77"/>
      <c r="R28" s="77"/>
      <c r="S28" s="77"/>
      <c r="T28" s="160"/>
    </row>
    <row r="29" spans="1:21" ht="13.5" customHeight="1">
      <c r="A29" s="139"/>
      <c r="B29" s="73"/>
      <c r="C29" s="74"/>
      <c r="D29" s="75" t="s">
        <v>275</v>
      </c>
      <c r="E29" s="80"/>
      <c r="F29" s="77"/>
      <c r="G29" s="77"/>
      <c r="H29" s="77"/>
      <c r="I29" s="77"/>
      <c r="J29" s="77"/>
      <c r="K29" s="77"/>
      <c r="L29" s="77"/>
      <c r="M29" s="77"/>
      <c r="N29" s="77"/>
      <c r="O29" s="77"/>
      <c r="P29" s="77" t="s">
        <v>97</v>
      </c>
      <c r="Q29" s="77"/>
      <c r="R29" s="77"/>
      <c r="S29" s="77"/>
      <c r="T29" s="160"/>
    </row>
    <row r="30" spans="1:21" ht="13.5" customHeight="1">
      <c r="A30" s="139"/>
      <c r="B30" s="73" t="s">
        <v>163</v>
      </c>
      <c r="C30" s="74"/>
      <c r="D30" s="75"/>
      <c r="E30" s="80"/>
      <c r="F30" s="77"/>
      <c r="G30" s="77"/>
      <c r="H30" s="77"/>
      <c r="I30" s="77"/>
      <c r="J30" s="77"/>
      <c r="K30" s="77"/>
      <c r="L30" s="77"/>
      <c r="M30" s="77"/>
      <c r="N30" s="77"/>
      <c r="O30" s="77"/>
      <c r="P30" s="77"/>
      <c r="Q30" s="77"/>
      <c r="R30" s="77"/>
      <c r="S30" s="77"/>
      <c r="T30" s="160"/>
    </row>
    <row r="31" spans="1:21" ht="13.5" customHeight="1">
      <c r="A31" s="139"/>
      <c r="B31" s="73"/>
      <c r="C31" s="74"/>
      <c r="D31" s="75" t="s">
        <v>276</v>
      </c>
      <c r="E31" s="80"/>
      <c r="F31" s="77"/>
      <c r="G31" s="77"/>
      <c r="H31" s="77"/>
      <c r="I31" s="77"/>
      <c r="J31" s="77"/>
      <c r="K31" s="77"/>
      <c r="L31" s="77"/>
      <c r="M31" s="77"/>
      <c r="N31" s="77"/>
      <c r="O31" s="77"/>
      <c r="P31" s="77"/>
      <c r="Q31" s="77" t="s">
        <v>97</v>
      </c>
      <c r="R31" s="77"/>
      <c r="S31" s="77"/>
      <c r="T31" s="160"/>
    </row>
    <row r="32" spans="1:21" ht="13.5" customHeight="1" thickBot="1">
      <c r="A32" s="139"/>
      <c r="B32" s="82" t="s">
        <v>164</v>
      </c>
      <c r="C32" s="83"/>
      <c r="D32" s="84" t="s">
        <v>277</v>
      </c>
      <c r="E32" s="85"/>
      <c r="F32" s="86"/>
      <c r="G32" s="86"/>
      <c r="H32" s="86"/>
      <c r="I32" s="86"/>
      <c r="J32" s="86"/>
      <c r="K32" s="86" t="s">
        <v>97</v>
      </c>
      <c r="L32" s="86"/>
      <c r="M32" s="86"/>
      <c r="N32" s="86"/>
      <c r="O32" s="86"/>
      <c r="P32" s="86"/>
      <c r="Q32" s="86"/>
      <c r="R32" s="86"/>
      <c r="S32" s="86"/>
      <c r="T32" s="161"/>
    </row>
    <row r="33" spans="1:21" ht="13.5" customHeight="1" thickTop="1">
      <c r="A33" s="152"/>
      <c r="B33" s="87"/>
      <c r="C33" s="88"/>
      <c r="D33" s="89" t="s">
        <v>278</v>
      </c>
      <c r="E33" s="90"/>
      <c r="F33" s="91"/>
      <c r="G33" s="91"/>
      <c r="H33" s="91"/>
      <c r="I33" s="91"/>
      <c r="J33" s="91"/>
      <c r="K33" s="91"/>
      <c r="L33" s="91" t="s">
        <v>97</v>
      </c>
      <c r="M33" s="91"/>
      <c r="N33" s="91"/>
      <c r="O33" s="91"/>
      <c r="P33" s="91"/>
      <c r="Q33" s="91"/>
      <c r="R33" s="91"/>
      <c r="S33" s="91"/>
      <c r="T33" s="162"/>
    </row>
    <row r="34" spans="1:21" ht="13.5" customHeight="1">
      <c r="A34" s="151" t="s">
        <v>83</v>
      </c>
      <c r="B34" s="102" t="s">
        <v>84</v>
      </c>
      <c r="C34" s="93"/>
      <c r="D34" s="94"/>
      <c r="E34" s="95"/>
      <c r="F34" s="77"/>
      <c r="G34" s="77"/>
      <c r="H34" s="77"/>
      <c r="I34" s="77"/>
      <c r="J34" s="77"/>
      <c r="K34" s="77"/>
      <c r="L34" s="77"/>
      <c r="M34" s="77"/>
      <c r="N34" s="77"/>
      <c r="O34" s="77"/>
      <c r="P34" s="77"/>
      <c r="Q34" s="77"/>
      <c r="R34" s="77"/>
      <c r="S34" s="77"/>
      <c r="T34" s="160"/>
    </row>
    <row r="35" spans="1:21" ht="13.5" customHeight="1">
      <c r="A35" s="151"/>
      <c r="B35" s="102"/>
      <c r="C35" s="93"/>
      <c r="D35" s="94" t="s">
        <v>165</v>
      </c>
      <c r="E35" s="95"/>
      <c r="F35" s="77" t="s">
        <v>103</v>
      </c>
      <c r="G35" s="77"/>
      <c r="H35" s="77" t="s">
        <v>103</v>
      </c>
      <c r="I35" s="77"/>
      <c r="J35" s="77"/>
      <c r="K35" s="77"/>
      <c r="L35" s="77"/>
      <c r="M35" s="77" t="s">
        <v>103</v>
      </c>
      <c r="N35" s="77" t="s">
        <v>103</v>
      </c>
      <c r="O35" s="77" t="s">
        <v>103</v>
      </c>
      <c r="P35" s="77" t="s">
        <v>103</v>
      </c>
      <c r="Q35" s="77"/>
      <c r="R35" s="77"/>
      <c r="S35" s="77"/>
      <c r="T35" s="160"/>
      <c r="U35" s="65" t="s">
        <v>103</v>
      </c>
    </row>
    <row r="36" spans="1:21" ht="13.5" customHeight="1">
      <c r="A36" s="151"/>
      <c r="B36" s="102"/>
      <c r="C36" s="93"/>
      <c r="D36" s="94" t="s">
        <v>166</v>
      </c>
      <c r="E36" s="95"/>
      <c r="F36" s="77"/>
      <c r="G36" s="77" t="s">
        <v>103</v>
      </c>
      <c r="H36" s="77"/>
      <c r="I36" s="77"/>
      <c r="J36" s="77"/>
      <c r="K36" s="77"/>
      <c r="L36" s="77"/>
      <c r="M36" s="77"/>
      <c r="N36" s="77"/>
      <c r="O36" s="77"/>
      <c r="P36" s="77"/>
      <c r="Q36" s="77" t="s">
        <v>103</v>
      </c>
      <c r="R36" s="77" t="s">
        <v>103</v>
      </c>
      <c r="S36" s="77" t="s">
        <v>103</v>
      </c>
      <c r="T36" s="160" t="s">
        <v>103</v>
      </c>
    </row>
    <row r="37" spans="1:21" ht="13.5" customHeight="1">
      <c r="A37" s="151"/>
      <c r="B37" s="102" t="s">
        <v>85</v>
      </c>
      <c r="C37" s="93"/>
      <c r="D37" s="94"/>
      <c r="E37" s="95"/>
      <c r="F37" s="77"/>
      <c r="G37" s="77"/>
      <c r="H37" s="77"/>
      <c r="I37" s="77"/>
      <c r="J37" s="77"/>
      <c r="K37" s="77"/>
      <c r="L37" s="77"/>
      <c r="M37" s="77"/>
      <c r="N37" s="77"/>
      <c r="O37" s="77"/>
      <c r="P37" s="77"/>
      <c r="Q37" s="77"/>
      <c r="R37" s="77"/>
      <c r="S37" s="77"/>
      <c r="T37" s="160"/>
    </row>
    <row r="38" spans="1:21" ht="13.5" customHeight="1">
      <c r="A38" s="151"/>
      <c r="B38" s="102"/>
      <c r="C38" s="93"/>
      <c r="D38" s="94" t="s">
        <v>167</v>
      </c>
      <c r="E38" s="95"/>
      <c r="F38" s="77"/>
      <c r="G38" s="77"/>
      <c r="H38" s="77"/>
      <c r="I38" s="77" t="s">
        <v>168</v>
      </c>
      <c r="J38" s="77"/>
      <c r="K38" s="77"/>
      <c r="L38" s="77"/>
      <c r="M38" s="77"/>
      <c r="N38" s="77"/>
      <c r="O38" s="77"/>
      <c r="P38" s="77"/>
      <c r="Q38" s="77"/>
      <c r="R38" s="77"/>
      <c r="S38" s="77"/>
      <c r="T38" s="160"/>
    </row>
    <row r="39" spans="1:21" ht="13.5" customHeight="1">
      <c r="A39" s="151"/>
      <c r="B39" s="92"/>
      <c r="C39" s="96"/>
      <c r="D39" s="94" t="s">
        <v>169</v>
      </c>
      <c r="E39" s="97"/>
      <c r="F39" s="77"/>
      <c r="G39" s="77"/>
      <c r="H39" s="77"/>
      <c r="I39" s="77"/>
      <c r="J39" s="77" t="s">
        <v>168</v>
      </c>
      <c r="K39" s="77"/>
      <c r="L39" s="77"/>
      <c r="M39" s="77"/>
      <c r="N39" s="77"/>
      <c r="O39" s="77"/>
      <c r="P39" s="77"/>
      <c r="Q39" s="77"/>
      <c r="R39" s="77"/>
      <c r="S39" s="77"/>
      <c r="T39" s="160"/>
    </row>
    <row r="40" spans="1:21" ht="13.5" customHeight="1">
      <c r="A40" s="151"/>
      <c r="B40" s="92"/>
      <c r="C40" s="96"/>
      <c r="D40" s="94" t="s">
        <v>170</v>
      </c>
      <c r="E40" s="97"/>
      <c r="F40" s="77"/>
      <c r="G40" s="77"/>
      <c r="H40" s="77"/>
      <c r="I40" s="77"/>
      <c r="J40" s="77"/>
      <c r="K40" s="77" t="s">
        <v>168</v>
      </c>
      <c r="L40" s="77"/>
      <c r="M40" s="77"/>
      <c r="N40" s="77"/>
      <c r="O40" s="77"/>
      <c r="P40" s="77"/>
      <c r="Q40" s="77"/>
      <c r="R40" s="77"/>
      <c r="S40" s="77"/>
      <c r="T40" s="160"/>
    </row>
    <row r="41" spans="1:21" ht="13.5" customHeight="1">
      <c r="A41" s="151"/>
      <c r="B41" s="92"/>
      <c r="C41" s="96"/>
      <c r="D41" s="94" t="s">
        <v>171</v>
      </c>
      <c r="E41" s="97"/>
      <c r="F41" s="77"/>
      <c r="G41" s="77"/>
      <c r="H41" s="77"/>
      <c r="I41" s="77"/>
      <c r="J41" s="77"/>
      <c r="K41" s="77"/>
      <c r="L41" s="77" t="s">
        <v>168</v>
      </c>
      <c r="M41" s="77"/>
      <c r="N41" s="77"/>
      <c r="O41" s="77"/>
      <c r="P41" s="77"/>
      <c r="Q41" s="77"/>
      <c r="R41" s="77"/>
      <c r="S41" s="77"/>
      <c r="T41" s="160"/>
    </row>
    <row r="42" spans="1:21" ht="13.5" customHeight="1">
      <c r="A42" s="151" t="s">
        <v>49</v>
      </c>
      <c r="B42" s="92" t="s">
        <v>50</v>
      </c>
      <c r="C42" s="96"/>
      <c r="D42" s="94"/>
      <c r="E42" s="97"/>
      <c r="F42" s="77" t="s">
        <v>51</v>
      </c>
      <c r="G42" s="77" t="s">
        <v>51</v>
      </c>
      <c r="H42" s="77" t="s">
        <v>51</v>
      </c>
      <c r="I42" s="77" t="s">
        <v>53</v>
      </c>
      <c r="J42" s="77" t="s">
        <v>53</v>
      </c>
      <c r="K42" s="77" t="s">
        <v>53</v>
      </c>
      <c r="L42" s="77" t="s">
        <v>53</v>
      </c>
      <c r="M42" s="77" t="s">
        <v>52</v>
      </c>
      <c r="N42" s="77" t="s">
        <v>52</v>
      </c>
      <c r="O42" s="77" t="s">
        <v>52</v>
      </c>
      <c r="P42" s="77" t="s">
        <v>52</v>
      </c>
      <c r="Q42" s="77" t="s">
        <v>52</v>
      </c>
      <c r="R42" s="77" t="s">
        <v>52</v>
      </c>
      <c r="S42" s="77" t="s">
        <v>52</v>
      </c>
      <c r="T42" s="160" t="s">
        <v>52</v>
      </c>
      <c r="U42" s="65" t="s">
        <v>52</v>
      </c>
    </row>
    <row r="43" spans="1:21" ht="13.5" customHeight="1">
      <c r="A43" s="151"/>
      <c r="B43" s="92" t="s">
        <v>54</v>
      </c>
      <c r="C43" s="96"/>
      <c r="D43" s="94"/>
      <c r="E43" s="97"/>
      <c r="F43" s="77" t="s">
        <v>55</v>
      </c>
      <c r="G43" s="77" t="s">
        <v>55</v>
      </c>
      <c r="H43" s="77" t="s">
        <v>55</v>
      </c>
      <c r="I43" s="77" t="s">
        <v>55</v>
      </c>
      <c r="J43" s="77" t="s">
        <v>55</v>
      </c>
      <c r="K43" s="77" t="s">
        <v>55</v>
      </c>
      <c r="L43" s="77" t="s">
        <v>55</v>
      </c>
      <c r="M43" s="77" t="s">
        <v>55</v>
      </c>
      <c r="N43" s="77" t="s">
        <v>55</v>
      </c>
      <c r="O43" s="77" t="s">
        <v>55</v>
      </c>
      <c r="P43" s="77" t="s">
        <v>55</v>
      </c>
      <c r="Q43" s="77" t="s">
        <v>55</v>
      </c>
      <c r="R43" s="77" t="s">
        <v>55</v>
      </c>
      <c r="S43" s="77" t="s">
        <v>55</v>
      </c>
      <c r="T43" s="160" t="s">
        <v>55</v>
      </c>
      <c r="U43" s="65" t="s">
        <v>55</v>
      </c>
    </row>
    <row r="44" spans="1:21" ht="13.5" customHeight="1" thickBot="1">
      <c r="A44" s="151"/>
      <c r="B44" s="125" t="s">
        <v>57</v>
      </c>
      <c r="C44" s="126"/>
      <c r="D44" s="127"/>
      <c r="E44" s="128"/>
      <c r="F44" s="176">
        <v>46326</v>
      </c>
      <c r="G44" s="176">
        <v>46326</v>
      </c>
      <c r="H44" s="176">
        <v>46326</v>
      </c>
      <c r="I44" s="176">
        <v>46326</v>
      </c>
      <c r="J44" s="176">
        <v>46326</v>
      </c>
      <c r="K44" s="176">
        <v>46326</v>
      </c>
      <c r="L44" s="176">
        <v>46326</v>
      </c>
      <c r="M44" s="176">
        <v>46326</v>
      </c>
      <c r="N44" s="176">
        <v>46326</v>
      </c>
      <c r="O44" s="176">
        <v>46326</v>
      </c>
      <c r="P44" s="176">
        <v>46326</v>
      </c>
      <c r="Q44" s="176">
        <v>46326</v>
      </c>
      <c r="R44" s="176">
        <v>46326</v>
      </c>
      <c r="S44" s="176">
        <v>46326</v>
      </c>
      <c r="T44" s="177">
        <v>46326</v>
      </c>
      <c r="U44" s="175">
        <v>46326</v>
      </c>
    </row>
    <row r="45" spans="1:21" ht="13.5" customHeight="1" thickTop="1">
      <c r="A45" s="152"/>
      <c r="B45" s="213" t="s">
        <v>58</v>
      </c>
      <c r="C45" s="213"/>
      <c r="D45" s="213"/>
      <c r="E45" s="130"/>
      <c r="F45" s="158"/>
      <c r="G45" s="158"/>
      <c r="H45" s="158"/>
      <c r="I45" s="158"/>
      <c r="J45" s="158"/>
      <c r="K45" s="158"/>
      <c r="L45" s="158"/>
      <c r="M45" s="158"/>
      <c r="N45" s="158"/>
      <c r="O45" s="158"/>
      <c r="P45" s="158"/>
      <c r="Q45" s="158"/>
      <c r="R45" s="158"/>
      <c r="S45" s="158"/>
      <c r="T45" s="164"/>
    </row>
    <row r="46" spans="1:21" ht="13.5" customHeight="1">
      <c r="A46" s="144"/>
      <c r="B46" s="233"/>
      <c r="C46" s="233"/>
      <c r="D46" s="233"/>
      <c r="E46" s="99"/>
      <c r="F46" s="98"/>
      <c r="G46" s="98"/>
      <c r="H46" s="98"/>
      <c r="I46" s="98"/>
      <c r="J46" s="98"/>
      <c r="K46" s="98"/>
      <c r="L46" s="98"/>
      <c r="M46" s="98"/>
      <c r="N46" s="98"/>
      <c r="O46" s="98"/>
      <c r="P46" s="98"/>
      <c r="Q46" s="98"/>
      <c r="R46" s="98"/>
      <c r="S46" s="98"/>
      <c r="T46" s="165"/>
    </row>
    <row r="47" spans="1:21" ht="13.5" customHeight="1">
      <c r="A47" s="144"/>
      <c r="B47" s="211" t="s">
        <v>57</v>
      </c>
      <c r="C47" s="211"/>
      <c r="D47" s="211"/>
      <c r="E47" s="100"/>
      <c r="F47" s="101"/>
      <c r="G47" s="101"/>
      <c r="H47" s="101"/>
      <c r="I47" s="101"/>
      <c r="J47" s="101"/>
      <c r="K47" s="101"/>
      <c r="L47" s="101"/>
      <c r="M47" s="101"/>
      <c r="N47" s="101"/>
      <c r="O47" s="101"/>
      <c r="P47" s="101"/>
      <c r="Q47" s="101"/>
      <c r="R47" s="101"/>
      <c r="S47" s="101"/>
      <c r="T47" s="146"/>
    </row>
    <row r="48" spans="1:21" ht="10.8" thickBot="1">
      <c r="A48" s="147" t="s">
        <v>172</v>
      </c>
      <c r="B48" s="212" t="s">
        <v>58</v>
      </c>
      <c r="C48" s="212"/>
      <c r="D48" s="212"/>
      <c r="E48" s="148"/>
      <c r="F48" s="149"/>
      <c r="G48" s="149"/>
      <c r="H48" s="149"/>
      <c r="I48" s="149"/>
      <c r="J48" s="149"/>
      <c r="K48" s="149"/>
      <c r="L48" s="149"/>
      <c r="M48" s="149"/>
      <c r="N48" s="149"/>
      <c r="O48" s="149"/>
      <c r="P48" s="149"/>
      <c r="Q48" s="149"/>
      <c r="R48" s="149"/>
      <c r="S48" s="149"/>
      <c r="T48" s="150"/>
    </row>
    <row r="49" spans="1:8" ht="10.8" thickTop="1">
      <c r="A49" s="69" t="s">
        <v>173</v>
      </c>
      <c r="B49" s="178" t="s">
        <v>174</v>
      </c>
      <c r="C49" s="179" t="s">
        <v>175</v>
      </c>
      <c r="D49" s="178" t="s">
        <v>157</v>
      </c>
      <c r="E49" s="178" t="s">
        <v>176</v>
      </c>
      <c r="F49" s="178" t="s">
        <v>177</v>
      </c>
      <c r="G49" s="178" t="s">
        <v>178</v>
      </c>
      <c r="H49" s="178" t="s">
        <v>179</v>
      </c>
    </row>
    <row r="50" spans="1:8" ht="13.5" customHeight="1">
      <c r="A50" s="65" t="s">
        <v>32</v>
      </c>
      <c r="B50" s="69" t="s">
        <v>180</v>
      </c>
      <c r="C50" s="65" t="s">
        <v>181</v>
      </c>
      <c r="D50" s="66" t="s">
        <v>182</v>
      </c>
      <c r="E50" s="65" t="s">
        <v>183</v>
      </c>
      <c r="F50" s="65" t="s">
        <v>184</v>
      </c>
      <c r="G50" s="65" t="s">
        <v>185</v>
      </c>
      <c r="H50" s="65" t="s">
        <v>27</v>
      </c>
    </row>
    <row r="51" spans="1:8" ht="13.5" customHeight="1">
      <c r="A51" s="65" t="s">
        <v>33</v>
      </c>
      <c r="B51" s="69" t="s">
        <v>186</v>
      </c>
      <c r="C51" s="65" t="s">
        <v>181</v>
      </c>
      <c r="D51" s="66" t="s">
        <v>187</v>
      </c>
      <c r="E51" s="65" t="s">
        <v>188</v>
      </c>
      <c r="F51" s="65" t="s">
        <v>189</v>
      </c>
      <c r="G51" s="65" t="s">
        <v>190</v>
      </c>
      <c r="H51" s="65" t="s">
        <v>27</v>
      </c>
    </row>
    <row r="52" spans="1:8" ht="13.5" customHeight="1">
      <c r="A52" s="65" t="s">
        <v>34</v>
      </c>
      <c r="B52" s="69" t="s">
        <v>191</v>
      </c>
      <c r="C52" s="65" t="s">
        <v>181</v>
      </c>
      <c r="D52" s="66" t="s">
        <v>192</v>
      </c>
      <c r="E52" s="65" t="s">
        <v>193</v>
      </c>
      <c r="F52" s="65" t="s">
        <v>194</v>
      </c>
      <c r="G52" s="65" t="s">
        <v>195</v>
      </c>
      <c r="H52" s="65" t="s">
        <v>27</v>
      </c>
    </row>
    <row r="53" spans="1:8" ht="13.5" customHeight="1">
      <c r="A53" s="65" t="s">
        <v>35</v>
      </c>
      <c r="B53" s="69" t="s">
        <v>196</v>
      </c>
      <c r="C53" s="65" t="s">
        <v>197</v>
      </c>
      <c r="D53" s="66" t="s">
        <v>198</v>
      </c>
      <c r="E53" s="65" t="s">
        <v>199</v>
      </c>
      <c r="F53" s="65" t="s">
        <v>200</v>
      </c>
      <c r="G53" s="65" t="s">
        <v>201</v>
      </c>
      <c r="H53" s="65" t="s">
        <v>27</v>
      </c>
    </row>
    <row r="54" spans="1:8" ht="13.5" customHeight="1">
      <c r="A54" s="65" t="s">
        <v>36</v>
      </c>
      <c r="B54" s="69" t="s">
        <v>202</v>
      </c>
      <c r="C54" s="65" t="s">
        <v>197</v>
      </c>
      <c r="D54" s="66" t="s">
        <v>203</v>
      </c>
      <c r="E54" s="65" t="s">
        <v>204</v>
      </c>
      <c r="F54" s="65" t="s">
        <v>205</v>
      </c>
      <c r="G54" s="65" t="s">
        <v>206</v>
      </c>
      <c r="H54" s="65" t="s">
        <v>27</v>
      </c>
    </row>
    <row r="55" spans="1:8" ht="13.5" customHeight="1">
      <c r="A55" s="65" t="s">
        <v>37</v>
      </c>
      <c r="B55" s="69" t="s">
        <v>207</v>
      </c>
      <c r="C55" s="65" t="s">
        <v>197</v>
      </c>
      <c r="D55" s="66" t="s">
        <v>208</v>
      </c>
      <c r="E55" s="65" t="s">
        <v>209</v>
      </c>
      <c r="F55" s="65" t="s">
        <v>210</v>
      </c>
      <c r="G55" s="65" t="s">
        <v>211</v>
      </c>
      <c r="H55" s="65" t="s">
        <v>27</v>
      </c>
    </row>
    <row r="56" spans="1:8" ht="13.5" customHeight="1">
      <c r="A56" s="65" t="s">
        <v>38</v>
      </c>
      <c r="B56" s="69" t="s">
        <v>212</v>
      </c>
      <c r="C56" s="65" t="s">
        <v>197</v>
      </c>
      <c r="D56" s="66" t="s">
        <v>213</v>
      </c>
      <c r="E56" s="65" t="s">
        <v>214</v>
      </c>
      <c r="F56" s="65" t="s">
        <v>215</v>
      </c>
      <c r="G56" s="65" t="s">
        <v>216</v>
      </c>
      <c r="H56" s="65" t="s">
        <v>27</v>
      </c>
    </row>
    <row r="57" spans="1:8" ht="13.5" customHeight="1">
      <c r="A57" s="65" t="s">
        <v>39</v>
      </c>
      <c r="B57" s="69" t="s">
        <v>217</v>
      </c>
      <c r="C57" s="65" t="s">
        <v>218</v>
      </c>
      <c r="D57" s="66" t="s">
        <v>219</v>
      </c>
      <c r="E57" s="65" t="s">
        <v>220</v>
      </c>
      <c r="F57" s="65" t="s">
        <v>221</v>
      </c>
      <c r="G57" s="65" t="s">
        <v>222</v>
      </c>
      <c r="H57" s="65" t="s">
        <v>27</v>
      </c>
    </row>
    <row r="58" spans="1:8" ht="13.5" customHeight="1">
      <c r="A58" s="65" t="s">
        <v>40</v>
      </c>
      <c r="B58" s="69" t="s">
        <v>223</v>
      </c>
      <c r="C58" s="65" t="s">
        <v>218</v>
      </c>
      <c r="D58" s="66" t="s">
        <v>224</v>
      </c>
      <c r="E58" s="65" t="s">
        <v>225</v>
      </c>
      <c r="F58" s="65" t="s">
        <v>226</v>
      </c>
      <c r="G58" s="65" t="s">
        <v>227</v>
      </c>
      <c r="H58" s="65" t="s">
        <v>27</v>
      </c>
    </row>
    <row r="59" spans="1:8" ht="13.5" customHeight="1">
      <c r="A59" s="65" t="s">
        <v>41</v>
      </c>
      <c r="B59" s="69" t="s">
        <v>228</v>
      </c>
      <c r="C59" s="65" t="s">
        <v>218</v>
      </c>
      <c r="D59" s="66" t="s">
        <v>229</v>
      </c>
      <c r="E59" s="65" t="s">
        <v>230</v>
      </c>
      <c r="F59" s="65" t="s">
        <v>231</v>
      </c>
      <c r="G59" s="65" t="s">
        <v>232</v>
      </c>
      <c r="H59" s="65" t="s">
        <v>27</v>
      </c>
    </row>
    <row r="60" spans="1:8" ht="13.5" customHeight="1">
      <c r="A60" s="65" t="s">
        <v>42</v>
      </c>
      <c r="B60" s="69" t="s">
        <v>233</v>
      </c>
      <c r="C60" s="65" t="s">
        <v>218</v>
      </c>
      <c r="D60" s="66" t="s">
        <v>234</v>
      </c>
      <c r="E60" s="65" t="s">
        <v>235</v>
      </c>
      <c r="F60" s="65" t="s">
        <v>236</v>
      </c>
      <c r="G60" s="65" t="s">
        <v>237</v>
      </c>
      <c r="H60" s="65" t="s">
        <v>27</v>
      </c>
    </row>
    <row r="61" spans="1:8" ht="13.5" customHeight="1">
      <c r="A61" s="65" t="s">
        <v>43</v>
      </c>
      <c r="B61" s="69" t="s">
        <v>238</v>
      </c>
      <c r="C61" s="65" t="s">
        <v>218</v>
      </c>
      <c r="D61" s="66" t="s">
        <v>239</v>
      </c>
      <c r="E61" s="65" t="s">
        <v>240</v>
      </c>
      <c r="F61" s="65" t="s">
        <v>241</v>
      </c>
      <c r="G61" s="65" t="s">
        <v>242</v>
      </c>
      <c r="H61" s="65" t="s">
        <v>27</v>
      </c>
    </row>
    <row r="62" spans="1:8" ht="13.5" customHeight="1">
      <c r="A62" s="65" t="s">
        <v>44</v>
      </c>
      <c r="B62" s="69" t="s">
        <v>243</v>
      </c>
      <c r="C62" s="65" t="s">
        <v>218</v>
      </c>
      <c r="D62" s="66" t="s">
        <v>244</v>
      </c>
      <c r="E62" s="65" t="s">
        <v>245</v>
      </c>
      <c r="F62" s="65" t="s">
        <v>246</v>
      </c>
      <c r="G62" s="65" t="s">
        <v>247</v>
      </c>
      <c r="H62" s="65" t="s">
        <v>27</v>
      </c>
    </row>
    <row r="63" spans="1:8" ht="13.5" customHeight="1">
      <c r="A63" s="65" t="s">
        <v>45</v>
      </c>
      <c r="B63" s="69" t="s">
        <v>248</v>
      </c>
      <c r="C63" s="65" t="s">
        <v>218</v>
      </c>
      <c r="D63" s="66" t="s">
        <v>249</v>
      </c>
      <c r="E63" s="65" t="s">
        <v>279</v>
      </c>
      <c r="F63" s="65" t="s">
        <v>250</v>
      </c>
      <c r="G63" s="65" t="s">
        <v>251</v>
      </c>
      <c r="H63" s="65" t="s">
        <v>27</v>
      </c>
    </row>
    <row r="64" spans="1:8" ht="13.5" customHeight="1">
      <c r="A64" s="65" t="s">
        <v>46</v>
      </c>
      <c r="B64" s="69" t="s">
        <v>252</v>
      </c>
      <c r="C64" s="65" t="s">
        <v>218</v>
      </c>
      <c r="D64" s="66" t="s">
        <v>253</v>
      </c>
      <c r="E64" s="65" t="s">
        <v>254</v>
      </c>
      <c r="F64" s="65" t="s">
        <v>255</v>
      </c>
      <c r="G64" s="65" t="s">
        <v>256</v>
      </c>
      <c r="H64" s="65" t="s">
        <v>27</v>
      </c>
    </row>
    <row r="65" spans="1:8" ht="13.5" customHeight="1">
      <c r="A65" s="65" t="s">
        <v>156</v>
      </c>
      <c r="B65" s="69" t="s">
        <v>257</v>
      </c>
      <c r="C65" s="65" t="s">
        <v>218</v>
      </c>
      <c r="D65" s="66" t="s">
        <v>258</v>
      </c>
      <c r="E65" s="65" t="s">
        <v>280</v>
      </c>
      <c r="F65" s="65" t="s">
        <v>259</v>
      </c>
      <c r="G65" s="65" t="s">
        <v>260</v>
      </c>
      <c r="H65" s="65" t="s">
        <v>27</v>
      </c>
    </row>
  </sheetData>
  <mergeCells count="28">
    <mergeCell ref="D20:E20"/>
    <mergeCell ref="B45:D45"/>
    <mergeCell ref="B46:D46"/>
    <mergeCell ref="B47:D47"/>
    <mergeCell ref="B48:D48"/>
    <mergeCell ref="A6:B6"/>
    <mergeCell ref="C6:E6"/>
    <mergeCell ref="F6:K6"/>
    <mergeCell ref="L6:N6"/>
    <mergeCell ref="O6:T6"/>
    <mergeCell ref="A7:B7"/>
    <mergeCell ref="C7:E7"/>
    <mergeCell ref="F7:K7"/>
    <mergeCell ref="O7:T7"/>
    <mergeCell ref="A4:B4"/>
    <mergeCell ref="C4:D4"/>
    <mergeCell ref="F4:K4"/>
    <mergeCell ref="L4:T4"/>
    <mergeCell ref="A5:B5"/>
    <mergeCell ref="C5:T5"/>
    <mergeCell ref="A2:B2"/>
    <mergeCell ref="C2:E2"/>
    <mergeCell ref="F2:K2"/>
    <mergeCell ref="L2:T2"/>
    <mergeCell ref="A3:B3"/>
    <mergeCell ref="C3:E3"/>
    <mergeCell ref="F3:K3"/>
    <mergeCell ref="L3:N3"/>
  </mergeCells>
  <dataValidations count="3">
    <dataValidation type="list" allowBlank="1" showInputMessage="1" showErrorMessage="1" sqref="F10:T44" xr:uid="{908FD7F1-F1EB-4D5A-98D8-14D50CC84E84}">
      <formula1>"O, "</formula1>
    </dataValidation>
    <dataValidation type="list" allowBlank="1" showInputMessage="1" showErrorMessage="1" sqref="F45:T45" xr:uid="{CFD0BE6F-A007-4723-8707-1228624B5098}">
      <formula1>"N,A,B, "</formula1>
    </dataValidation>
    <dataValidation type="list" allowBlank="1" showInputMessage="1" showErrorMessage="1" sqref="F46:T46" xr:uid="{F8F67918-7FD2-4C85-BC8F-F9AB58DEA696}">
      <formula1>"P,F, "</formula1>
    </dataValidation>
  </dataValidations>
  <pageMargins left="0.75" right="0.75" top="0.75" bottom="0.75" header="0.5" footer="0.5"/>
  <pageSetup orientation="portrait"/>
  <headerFooter alignWithMargins="0">
    <oddFooter>&amp;L&amp;"Tahoma,Regular"&amp;10 02ae-BM/PM/HDCV/FSOFT v2/1&amp;C&amp;"Tahoma,Regular"&amp;10Internal use&amp;R&amp;"Tahoma,Regular"&amp;10&amp;P/&amp;N</oddFooter>
  </headerFooter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0FDA08-93D7-40B7-B549-CD3FFB36D46C}">
  <dimension ref="A1:W49"/>
  <sheetViews>
    <sheetView topLeftCell="A34" zoomScale="175" zoomScaleNormal="175" workbookViewId="0">
      <selection activeCell="V9" sqref="V9"/>
    </sheetView>
  </sheetViews>
  <sheetFormatPr defaultColWidth="11" defaultRowHeight="13.5" customHeight="1"/>
  <cols>
    <col min="1" max="1" width="8.109375" style="65" customWidth="1"/>
    <col min="2" max="2" width="13.33203125" style="69" customWidth="1"/>
    <col min="3" max="3" width="10.88671875" style="65" customWidth="1"/>
    <col min="4" max="4" width="11.33203125" style="66" customWidth="1"/>
    <col min="5" max="5" width="1.88671875" style="65" hidden="1" customWidth="1"/>
    <col min="6" max="11" width="2.88671875" style="65" bestFit="1" customWidth="1"/>
    <col min="12" max="19" width="2.88671875" style="65" customWidth="1"/>
    <col min="20" max="20" width="2.88671875" style="65" bestFit="1" customWidth="1"/>
    <col min="21" max="21" width="2.88671875" style="65" customWidth="1"/>
    <col min="22" max="16384" width="11" style="65"/>
  </cols>
  <sheetData>
    <row r="1" spans="1:23" ht="13.5" customHeight="1" thickBot="1">
      <c r="A1" s="63"/>
      <c r="B1" s="64"/>
    </row>
    <row r="2" spans="1:23" ht="13.5" customHeight="1">
      <c r="A2" s="226" t="s">
        <v>74</v>
      </c>
      <c r="B2" s="227"/>
      <c r="C2" s="228" t="str">
        <f>FunctionList!E11</f>
        <v>AuthLogin</v>
      </c>
      <c r="D2" s="229"/>
      <c r="E2" s="230"/>
      <c r="F2" s="231" t="s">
        <v>19</v>
      </c>
      <c r="G2" s="232"/>
      <c r="H2" s="232"/>
      <c r="I2" s="232"/>
      <c r="J2" s="232"/>
      <c r="K2" s="232"/>
      <c r="L2" s="198" t="str">
        <f>FunctionList!D11</f>
        <v>Function A</v>
      </c>
      <c r="M2" s="199"/>
      <c r="N2" s="199"/>
      <c r="O2" s="199"/>
      <c r="P2" s="199"/>
      <c r="Q2" s="199"/>
      <c r="R2" s="199"/>
      <c r="S2" s="199"/>
      <c r="T2" s="200"/>
      <c r="V2" s="67"/>
    </row>
    <row r="3" spans="1:23" ht="13.5" customHeight="1">
      <c r="A3" s="219" t="s">
        <v>75</v>
      </c>
      <c r="B3" s="220"/>
      <c r="C3" s="214" t="s">
        <v>31</v>
      </c>
      <c r="D3" s="201"/>
      <c r="E3" s="215"/>
      <c r="F3" s="204" t="s">
        <v>76</v>
      </c>
      <c r="G3" s="205"/>
      <c r="H3" s="205"/>
      <c r="I3" s="205"/>
      <c r="J3" s="205"/>
      <c r="K3" s="206"/>
      <c r="L3" s="201"/>
      <c r="M3" s="201"/>
      <c r="N3" s="201"/>
      <c r="O3" s="118"/>
      <c r="P3" s="118"/>
      <c r="Q3" s="118"/>
      <c r="R3" s="118"/>
      <c r="S3" s="118"/>
      <c r="T3" s="119"/>
    </row>
    <row r="4" spans="1:23" ht="13.5" customHeight="1">
      <c r="A4" s="219" t="s">
        <v>77</v>
      </c>
      <c r="B4" s="220"/>
      <c r="C4" s="238">
        <v>100</v>
      </c>
      <c r="D4" s="239"/>
      <c r="E4" s="124"/>
      <c r="F4" s="204" t="s">
        <v>78</v>
      </c>
      <c r="G4" s="205"/>
      <c r="H4" s="205"/>
      <c r="I4" s="205"/>
      <c r="J4" s="205"/>
      <c r="K4" s="206"/>
      <c r="L4" s="207">
        <f xml:space="preserve"> IF(FunctionList!E6&lt;&gt;"N/A",SUM(C4*FunctionList!E6/1000,- O7),"N/A")</f>
        <v>-5</v>
      </c>
      <c r="M4" s="208"/>
      <c r="N4" s="208"/>
      <c r="O4" s="208"/>
      <c r="P4" s="208"/>
      <c r="Q4" s="208"/>
      <c r="R4" s="208"/>
      <c r="S4" s="208"/>
      <c r="T4" s="209"/>
      <c r="V4" s="67"/>
    </row>
    <row r="5" spans="1:23" ht="13.5" customHeight="1">
      <c r="A5" s="219" t="s">
        <v>79</v>
      </c>
      <c r="B5" s="220"/>
      <c r="C5" s="221" t="s">
        <v>73</v>
      </c>
      <c r="D5" s="221"/>
      <c r="E5" s="221"/>
      <c r="F5" s="222"/>
      <c r="G5" s="222"/>
      <c r="H5" s="222"/>
      <c r="I5" s="222"/>
      <c r="J5" s="222"/>
      <c r="K5" s="222"/>
      <c r="L5" s="221"/>
      <c r="M5" s="221"/>
      <c r="N5" s="221"/>
      <c r="O5" s="221"/>
      <c r="P5" s="221"/>
      <c r="Q5" s="221"/>
      <c r="R5" s="221"/>
      <c r="S5" s="221"/>
      <c r="T5" s="221"/>
    </row>
    <row r="6" spans="1:23" ht="13.5" customHeight="1">
      <c r="A6" s="217" t="s">
        <v>27</v>
      </c>
      <c r="B6" s="218"/>
      <c r="C6" s="202" t="s">
        <v>28</v>
      </c>
      <c r="D6" s="196"/>
      <c r="E6" s="203"/>
      <c r="F6" s="202" t="s">
        <v>29</v>
      </c>
      <c r="G6" s="196"/>
      <c r="H6" s="196"/>
      <c r="I6" s="196"/>
      <c r="J6" s="196"/>
      <c r="K6" s="210"/>
      <c r="L6" s="196" t="s">
        <v>80</v>
      </c>
      <c r="M6" s="196"/>
      <c r="N6" s="196"/>
      <c r="O6" s="195" t="s">
        <v>30</v>
      </c>
      <c r="P6" s="196"/>
      <c r="Q6" s="196"/>
      <c r="R6" s="196"/>
      <c r="S6" s="196"/>
      <c r="T6" s="197"/>
      <c r="V6" s="67"/>
    </row>
    <row r="7" spans="1:23" ht="13.5" customHeight="1" thickBot="1">
      <c r="A7" s="237">
        <f>COUNTIF(F47:HQ47,"P")</f>
        <v>0</v>
      </c>
      <c r="B7" s="236"/>
      <c r="C7" s="234">
        <f>COUNTIF(F47:HQ47,"F")</f>
        <v>0</v>
      </c>
      <c r="D7" s="224"/>
      <c r="E7" s="236"/>
      <c r="F7" s="234">
        <f>SUM(O7,- A7,- C7)</f>
        <v>15</v>
      </c>
      <c r="G7" s="224"/>
      <c r="H7" s="224"/>
      <c r="I7" s="224"/>
      <c r="J7" s="224"/>
      <c r="K7" s="235"/>
      <c r="L7" s="120">
        <f>COUNTIF(E46:HQ46,"N")</f>
        <v>0</v>
      </c>
      <c r="M7" s="120">
        <f>COUNTIF(E46:HQ46,"A")</f>
        <v>0</v>
      </c>
      <c r="N7" s="120">
        <f>COUNTIF(E46:HQ46,"B")</f>
        <v>0</v>
      </c>
      <c r="O7" s="223">
        <f>COUNTA(E9:HT9)</f>
        <v>15</v>
      </c>
      <c r="P7" s="224"/>
      <c r="Q7" s="224"/>
      <c r="R7" s="224"/>
      <c r="S7" s="224"/>
      <c r="T7" s="225"/>
      <c r="U7" s="68"/>
    </row>
    <row r="8" spans="1:23" ht="10.8" thickBot="1"/>
    <row r="9" spans="1:23" ht="45" customHeight="1" thickTop="1" thickBot="1">
      <c r="A9" s="159"/>
      <c r="B9" s="133"/>
      <c r="C9" s="134"/>
      <c r="D9" s="135"/>
      <c r="E9" s="134"/>
      <c r="F9" s="136" t="s">
        <v>32</v>
      </c>
      <c r="G9" s="136" t="s">
        <v>33</v>
      </c>
      <c r="H9" s="136" t="s">
        <v>33</v>
      </c>
      <c r="I9" s="136" t="s">
        <v>33</v>
      </c>
      <c r="J9" s="136" t="s">
        <v>33</v>
      </c>
      <c r="K9" s="136" t="s">
        <v>33</v>
      </c>
      <c r="L9" s="136" t="s">
        <v>38</v>
      </c>
      <c r="M9" s="136" t="s">
        <v>39</v>
      </c>
      <c r="N9" s="136" t="s">
        <v>40</v>
      </c>
      <c r="O9" s="136" t="s">
        <v>41</v>
      </c>
      <c r="P9" s="136" t="s">
        <v>42</v>
      </c>
      <c r="Q9" s="136" t="s">
        <v>43</v>
      </c>
      <c r="R9" s="136" t="s">
        <v>44</v>
      </c>
      <c r="S9" s="136" t="s">
        <v>45</v>
      </c>
      <c r="T9" s="137" t="s">
        <v>46</v>
      </c>
      <c r="U9" s="70"/>
      <c r="V9" s="71"/>
      <c r="W9" s="72"/>
    </row>
    <row r="10" spans="1:23" ht="13.5" customHeight="1">
      <c r="A10" s="153" t="s">
        <v>81</v>
      </c>
      <c r="B10" s="73" t="s">
        <v>69</v>
      </c>
      <c r="C10" s="74"/>
      <c r="D10" s="75"/>
      <c r="E10" s="76"/>
      <c r="F10" s="77"/>
      <c r="G10" s="77"/>
      <c r="H10" s="77"/>
      <c r="I10" s="77"/>
      <c r="J10" s="77"/>
      <c r="K10" s="77"/>
      <c r="L10" s="77"/>
      <c r="M10" s="77"/>
      <c r="N10" s="77"/>
      <c r="O10" s="77"/>
      <c r="P10" s="77"/>
      <c r="Q10" s="77"/>
      <c r="R10" s="77"/>
      <c r="S10" s="77"/>
      <c r="T10" s="160"/>
    </row>
    <row r="11" spans="1:23" ht="13.5" customHeight="1">
      <c r="A11" s="139"/>
      <c r="B11" s="73"/>
      <c r="C11" s="74"/>
      <c r="D11" s="75"/>
      <c r="E11" s="78"/>
      <c r="F11" s="77"/>
      <c r="G11" s="77"/>
      <c r="H11" s="77"/>
      <c r="I11" s="77"/>
      <c r="J11" s="77"/>
      <c r="K11" s="77"/>
      <c r="L11" s="77"/>
      <c r="M11" s="77"/>
      <c r="N11" s="77"/>
      <c r="O11" s="77"/>
      <c r="P11" s="77"/>
      <c r="Q11" s="77"/>
      <c r="R11" s="77"/>
      <c r="S11" s="77"/>
      <c r="T11" s="160"/>
      <c r="V11" s="67"/>
    </row>
    <row r="12" spans="1:23" ht="13.5" customHeight="1">
      <c r="A12" s="139"/>
      <c r="B12" s="73"/>
      <c r="C12" s="74"/>
      <c r="D12" s="75"/>
      <c r="E12" s="78"/>
      <c r="F12" s="77"/>
      <c r="G12" s="77"/>
      <c r="H12" s="77"/>
      <c r="I12" s="77"/>
      <c r="J12" s="77"/>
      <c r="K12" s="77"/>
      <c r="L12" s="77"/>
      <c r="M12" s="77"/>
      <c r="N12" s="77"/>
      <c r="O12" s="77"/>
      <c r="P12" s="77"/>
      <c r="Q12" s="77"/>
      <c r="R12" s="77"/>
      <c r="S12" s="77"/>
      <c r="T12" s="160"/>
    </row>
    <row r="13" spans="1:23" ht="13.5" customHeight="1">
      <c r="A13" s="139"/>
      <c r="B13" s="73"/>
      <c r="C13" s="74"/>
      <c r="D13" s="75"/>
      <c r="E13" s="79"/>
      <c r="F13" s="77"/>
      <c r="G13" s="77"/>
      <c r="H13" s="77"/>
      <c r="I13" s="77"/>
      <c r="J13" s="77"/>
      <c r="K13" s="77"/>
      <c r="L13" s="77"/>
      <c r="M13" s="77"/>
      <c r="N13" s="77"/>
      <c r="O13" s="77"/>
      <c r="P13" s="77"/>
      <c r="Q13" s="77"/>
      <c r="R13" s="77"/>
      <c r="S13" s="77"/>
      <c r="T13" s="160"/>
    </row>
    <row r="14" spans="1:23" ht="13.5" customHeight="1">
      <c r="A14" s="139"/>
      <c r="B14" s="73" t="s">
        <v>91</v>
      </c>
      <c r="C14" s="74"/>
      <c r="D14" s="75"/>
      <c r="E14" s="80"/>
      <c r="F14" s="77"/>
      <c r="G14" s="77"/>
      <c r="H14" s="77"/>
      <c r="I14" s="77"/>
      <c r="J14" s="77"/>
      <c r="K14" s="77"/>
      <c r="L14" s="77"/>
      <c r="M14" s="77"/>
      <c r="N14" s="77"/>
      <c r="O14" s="77"/>
      <c r="P14" s="77"/>
      <c r="Q14" s="77"/>
      <c r="R14" s="77"/>
      <c r="S14" s="77"/>
      <c r="T14" s="160"/>
    </row>
    <row r="15" spans="1:23" ht="13.5" customHeight="1">
      <c r="A15" s="139"/>
      <c r="B15" s="73"/>
      <c r="C15" s="74"/>
      <c r="D15" s="75">
        <v>-2</v>
      </c>
      <c r="E15" s="80"/>
      <c r="F15" s="77" t="s">
        <v>97</v>
      </c>
      <c r="G15" s="77"/>
      <c r="H15" s="77"/>
      <c r="I15" s="77"/>
      <c r="J15" s="77"/>
      <c r="K15" s="77"/>
      <c r="L15" s="77"/>
      <c r="M15" s="77"/>
      <c r="N15" s="77"/>
      <c r="O15" s="77"/>
      <c r="P15" s="77"/>
      <c r="Q15" s="77"/>
      <c r="R15" s="77"/>
      <c r="S15" s="77"/>
      <c r="T15" s="160"/>
    </row>
    <row r="16" spans="1:23" ht="13.5" customHeight="1">
      <c r="A16" s="139"/>
      <c r="B16" s="73"/>
      <c r="C16" s="74"/>
      <c r="D16" s="75">
        <v>-1</v>
      </c>
      <c r="E16" s="80"/>
      <c r="F16" s="77"/>
      <c r="G16" s="77"/>
      <c r="H16" s="77"/>
      <c r="I16" s="77"/>
      <c r="J16" s="77"/>
      <c r="K16" s="77"/>
      <c r="L16" s="77" t="s">
        <v>97</v>
      </c>
      <c r="M16" s="77"/>
      <c r="N16" s="77"/>
      <c r="O16" s="77"/>
      <c r="P16" s="77"/>
      <c r="Q16" s="77"/>
      <c r="R16" s="77"/>
      <c r="S16" s="77"/>
      <c r="T16" s="160"/>
    </row>
    <row r="17" spans="1:21" ht="13.5" customHeight="1">
      <c r="A17" s="139"/>
      <c r="B17" s="73"/>
      <c r="C17" s="74"/>
      <c r="D17" s="75">
        <v>0</v>
      </c>
      <c r="E17" s="80"/>
      <c r="F17" s="77"/>
      <c r="G17" s="77" t="s">
        <v>97</v>
      </c>
      <c r="H17" s="77" t="s">
        <v>97</v>
      </c>
      <c r="I17" s="77" t="s">
        <v>97</v>
      </c>
      <c r="J17" s="77"/>
      <c r="K17" s="77"/>
      <c r="L17" s="77"/>
      <c r="M17" s="77"/>
      <c r="N17" s="77"/>
      <c r="O17" s="77"/>
      <c r="P17" s="77"/>
      <c r="Q17" s="77"/>
      <c r="R17" s="77"/>
      <c r="S17" s="77"/>
      <c r="T17" s="160"/>
      <c r="U17" s="81"/>
    </row>
    <row r="18" spans="1:21" ht="13.5" customHeight="1">
      <c r="A18" s="139"/>
      <c r="B18" s="73"/>
      <c r="C18" s="74"/>
      <c r="D18" s="75">
        <v>1</v>
      </c>
      <c r="E18" s="80"/>
      <c r="F18" s="77"/>
      <c r="G18" s="77"/>
      <c r="H18" s="77"/>
      <c r="I18" s="77"/>
      <c r="J18" s="77" t="s">
        <v>97</v>
      </c>
      <c r="K18" s="77" t="s">
        <v>97</v>
      </c>
      <c r="L18" s="77"/>
      <c r="M18" s="77"/>
      <c r="N18" s="77"/>
      <c r="O18" s="77"/>
      <c r="P18" s="77"/>
      <c r="Q18" s="77"/>
      <c r="R18" s="77"/>
      <c r="S18" s="77"/>
      <c r="T18" s="160"/>
      <c r="U18" s="81"/>
    </row>
    <row r="19" spans="1:21" ht="13.5" customHeight="1">
      <c r="A19" s="139"/>
      <c r="B19" s="73" t="s">
        <v>92</v>
      </c>
      <c r="C19" s="74"/>
      <c r="D19" s="75"/>
      <c r="E19" s="80"/>
      <c r="F19" s="77"/>
      <c r="G19" s="77"/>
      <c r="H19" s="77"/>
      <c r="I19" s="77"/>
      <c r="J19" s="77"/>
      <c r="K19" s="77"/>
      <c r="L19" s="77"/>
      <c r="M19" s="77"/>
      <c r="N19" s="77"/>
      <c r="O19" s="77"/>
      <c r="P19" s="77"/>
      <c r="Q19" s="77"/>
      <c r="R19" s="77"/>
      <c r="S19" s="77"/>
      <c r="T19" s="160"/>
      <c r="U19" s="81"/>
    </row>
    <row r="20" spans="1:21" ht="13.5" customHeight="1">
      <c r="A20" s="139"/>
      <c r="B20" s="73"/>
      <c r="C20" s="74"/>
      <c r="D20" s="216">
        <v>0</v>
      </c>
      <c r="E20" s="216"/>
      <c r="F20" s="77"/>
      <c r="G20" s="77" t="s">
        <v>97</v>
      </c>
      <c r="H20" s="77" t="s">
        <v>97</v>
      </c>
      <c r="I20" s="77"/>
      <c r="J20" s="77"/>
      <c r="K20" s="77"/>
      <c r="L20" s="77"/>
      <c r="M20" s="77"/>
      <c r="N20" s="77"/>
      <c r="O20" s="77"/>
      <c r="P20" s="77"/>
      <c r="Q20" s="77"/>
      <c r="R20" s="77"/>
      <c r="S20" s="77"/>
      <c r="T20" s="160"/>
    </row>
    <row r="21" spans="1:21" ht="13.5" customHeight="1">
      <c r="A21" s="139"/>
      <c r="B21" s="73"/>
      <c r="C21" s="74"/>
      <c r="D21" s="75">
        <v>-2</v>
      </c>
      <c r="E21" s="80"/>
      <c r="F21" s="77"/>
      <c r="G21" s="77"/>
      <c r="H21" s="77"/>
      <c r="I21" s="77"/>
      <c r="J21" s="77" t="s">
        <v>97</v>
      </c>
      <c r="K21" s="77" t="s">
        <v>97</v>
      </c>
      <c r="L21" s="77" t="s">
        <v>97</v>
      </c>
      <c r="M21" s="77"/>
      <c r="N21" s="77"/>
      <c r="O21" s="77"/>
      <c r="P21" s="77"/>
      <c r="Q21" s="77"/>
      <c r="R21" s="77"/>
      <c r="S21" s="77"/>
      <c r="T21" s="160"/>
    </row>
    <row r="22" spans="1:21" ht="13.5" customHeight="1">
      <c r="A22" s="139"/>
      <c r="B22" s="73"/>
      <c r="C22" s="74"/>
      <c r="D22" s="75">
        <v>2</v>
      </c>
      <c r="E22" s="80"/>
      <c r="F22" s="77"/>
      <c r="G22" s="77"/>
      <c r="H22" s="77"/>
      <c r="I22" s="77" t="s">
        <v>97</v>
      </c>
      <c r="J22" s="77"/>
      <c r="K22" s="77"/>
      <c r="L22" s="77"/>
      <c r="M22" s="77"/>
      <c r="N22" s="77"/>
      <c r="O22" s="77"/>
      <c r="P22" s="77"/>
      <c r="Q22" s="77"/>
      <c r="R22" s="77"/>
      <c r="S22" s="77"/>
      <c r="T22" s="160"/>
    </row>
    <row r="23" spans="1:21" ht="13.5" customHeight="1">
      <c r="A23" s="139"/>
      <c r="B23" s="73" t="s">
        <v>93</v>
      </c>
      <c r="C23" s="74"/>
      <c r="D23" s="75"/>
      <c r="E23" s="80"/>
      <c r="F23" s="77"/>
      <c r="G23" s="77"/>
      <c r="H23" s="77"/>
      <c r="I23" s="77"/>
      <c r="J23" s="77"/>
      <c r="K23" s="77"/>
      <c r="L23" s="77"/>
      <c r="M23" s="77"/>
      <c r="N23" s="77"/>
      <c r="O23" s="77"/>
      <c r="P23" s="77"/>
      <c r="Q23" s="77"/>
      <c r="R23" s="77"/>
      <c r="S23" s="77"/>
      <c r="T23" s="160"/>
    </row>
    <row r="24" spans="1:21" ht="13.5" customHeight="1">
      <c r="A24" s="139"/>
      <c r="B24" s="73"/>
      <c r="C24" s="74"/>
      <c r="D24" s="75">
        <v>0</v>
      </c>
      <c r="E24" s="80"/>
      <c r="F24" s="77"/>
      <c r="G24" s="77" t="s">
        <v>97</v>
      </c>
      <c r="H24" s="77"/>
      <c r="I24" s="77"/>
      <c r="J24" s="77"/>
      <c r="K24" s="77"/>
      <c r="L24" s="77"/>
      <c r="M24" s="77"/>
      <c r="N24" s="77"/>
      <c r="O24" s="77"/>
      <c r="P24" s="77"/>
      <c r="Q24" s="77"/>
      <c r="R24" s="77"/>
      <c r="S24" s="77"/>
      <c r="T24" s="160"/>
    </row>
    <row r="25" spans="1:21" ht="13.5" customHeight="1">
      <c r="A25" s="139"/>
      <c r="B25" s="73"/>
      <c r="C25" s="74"/>
      <c r="D25" s="75">
        <v>1</v>
      </c>
      <c r="E25" s="80"/>
      <c r="F25" s="77"/>
      <c r="G25" s="77"/>
      <c r="H25" s="77" t="s">
        <v>97</v>
      </c>
      <c r="I25" s="77" t="s">
        <v>97</v>
      </c>
      <c r="J25" s="77" t="s">
        <v>97</v>
      </c>
      <c r="K25" s="77"/>
      <c r="L25" s="77"/>
      <c r="M25" s="77"/>
      <c r="N25" s="77"/>
      <c r="O25" s="77"/>
      <c r="P25" s="77"/>
      <c r="Q25" s="77"/>
      <c r="R25" s="77"/>
      <c r="S25" s="77"/>
      <c r="T25" s="160"/>
    </row>
    <row r="26" spans="1:21" ht="13.5" customHeight="1">
      <c r="A26" s="139"/>
      <c r="B26" s="73"/>
      <c r="C26" s="74"/>
      <c r="D26" s="75">
        <v>3</v>
      </c>
      <c r="E26" s="80"/>
      <c r="F26" s="77"/>
      <c r="G26" s="77"/>
      <c r="H26" s="77"/>
      <c r="I26" s="77"/>
      <c r="J26" s="77"/>
      <c r="K26" s="77"/>
      <c r="L26" s="77" t="s">
        <v>97</v>
      </c>
      <c r="M26" s="77"/>
      <c r="N26" s="77"/>
      <c r="O26" s="77"/>
      <c r="P26" s="77"/>
      <c r="Q26" s="77"/>
      <c r="R26" s="77"/>
      <c r="S26" s="77"/>
      <c r="T26" s="160"/>
    </row>
    <row r="27" spans="1:21" ht="13.5" customHeight="1">
      <c r="A27" s="139"/>
      <c r="B27" s="73"/>
      <c r="C27" s="74"/>
      <c r="D27" s="75">
        <v>5</v>
      </c>
      <c r="E27" s="80"/>
      <c r="F27" s="77"/>
      <c r="G27" s="77"/>
      <c r="H27" s="77"/>
      <c r="I27" s="77"/>
      <c r="J27" s="77"/>
      <c r="K27" s="77" t="s">
        <v>97</v>
      </c>
      <c r="L27" s="77"/>
      <c r="M27" s="77"/>
      <c r="N27" s="77"/>
      <c r="O27" s="77"/>
      <c r="P27" s="77"/>
      <c r="Q27" s="77"/>
      <c r="R27" s="77"/>
      <c r="S27" s="77"/>
      <c r="T27" s="160"/>
    </row>
    <row r="28" spans="1:21" ht="13.5" customHeight="1">
      <c r="A28" s="139"/>
      <c r="B28" s="73"/>
      <c r="C28" s="74"/>
      <c r="D28" s="75"/>
      <c r="E28" s="80"/>
      <c r="F28" s="77"/>
      <c r="G28" s="77"/>
      <c r="H28" s="77"/>
      <c r="I28" s="77"/>
      <c r="J28" s="77"/>
      <c r="K28" s="77"/>
      <c r="L28" s="77"/>
      <c r="M28" s="77"/>
      <c r="N28" s="77"/>
      <c r="O28" s="77"/>
      <c r="P28" s="77"/>
      <c r="Q28" s="77"/>
      <c r="R28" s="77"/>
      <c r="S28" s="77"/>
      <c r="T28" s="160"/>
    </row>
    <row r="29" spans="1:21" ht="13.5" customHeight="1">
      <c r="A29" s="139"/>
      <c r="B29" s="73"/>
      <c r="C29" s="74"/>
      <c r="D29" s="75"/>
      <c r="E29" s="80"/>
      <c r="F29" s="77"/>
      <c r="G29" s="77"/>
      <c r="H29" s="77"/>
      <c r="I29" s="77"/>
      <c r="J29" s="77"/>
      <c r="K29" s="77"/>
      <c r="L29" s="77"/>
      <c r="M29" s="77"/>
      <c r="N29" s="77"/>
      <c r="O29" s="77"/>
      <c r="P29" s="77"/>
      <c r="Q29" s="77"/>
      <c r="R29" s="77"/>
      <c r="S29" s="77"/>
      <c r="T29" s="160"/>
    </row>
    <row r="30" spans="1:21" ht="13.5" customHeight="1">
      <c r="A30" s="139"/>
      <c r="B30" s="73"/>
      <c r="C30" s="74"/>
      <c r="D30" s="75"/>
      <c r="E30" s="80"/>
      <c r="F30" s="77"/>
      <c r="G30" s="77"/>
      <c r="H30" s="77"/>
      <c r="I30" s="77"/>
      <c r="J30" s="77"/>
      <c r="K30" s="77"/>
      <c r="L30" s="77"/>
      <c r="M30" s="77"/>
      <c r="N30" s="77"/>
      <c r="O30" s="77"/>
      <c r="P30" s="77"/>
      <c r="Q30" s="77"/>
      <c r="R30" s="77"/>
      <c r="S30" s="77"/>
      <c r="T30" s="160"/>
    </row>
    <row r="31" spans="1:21" ht="13.5" customHeight="1">
      <c r="A31" s="139"/>
      <c r="B31" s="73"/>
      <c r="C31" s="74"/>
      <c r="D31" s="75"/>
      <c r="E31" s="80"/>
      <c r="F31" s="77"/>
      <c r="G31" s="77"/>
      <c r="H31" s="77"/>
      <c r="I31" s="77"/>
      <c r="J31" s="77"/>
      <c r="K31" s="77"/>
      <c r="L31" s="77"/>
      <c r="M31" s="77"/>
      <c r="N31" s="77"/>
      <c r="O31" s="77"/>
      <c r="P31" s="77"/>
      <c r="Q31" s="77"/>
      <c r="R31" s="77"/>
      <c r="S31" s="77"/>
      <c r="T31" s="160"/>
    </row>
    <row r="32" spans="1:21" ht="13.5" customHeight="1" thickBot="1">
      <c r="A32" s="139"/>
      <c r="B32" s="82"/>
      <c r="C32" s="83"/>
      <c r="D32" s="84"/>
      <c r="E32" s="85"/>
      <c r="F32" s="86"/>
      <c r="G32" s="86"/>
      <c r="H32" s="86"/>
      <c r="I32" s="86"/>
      <c r="J32" s="86"/>
      <c r="K32" s="86"/>
      <c r="L32" s="86"/>
      <c r="M32" s="86"/>
      <c r="N32" s="86"/>
      <c r="O32" s="86"/>
      <c r="P32" s="86"/>
      <c r="Q32" s="86"/>
      <c r="R32" s="86"/>
      <c r="S32" s="86"/>
      <c r="T32" s="161"/>
    </row>
    <row r="33" spans="1:20" ht="13.5" customHeight="1" thickTop="1">
      <c r="A33" s="152" t="s">
        <v>83</v>
      </c>
      <c r="B33" s="87" t="s">
        <v>70</v>
      </c>
      <c r="C33" s="88"/>
      <c r="D33" s="89"/>
      <c r="E33" s="90"/>
      <c r="F33" s="91"/>
      <c r="G33" s="91"/>
      <c r="H33" s="91"/>
      <c r="I33" s="91"/>
      <c r="J33" s="91"/>
      <c r="K33" s="91"/>
      <c r="L33" s="91"/>
      <c r="M33" s="91"/>
      <c r="N33" s="91"/>
      <c r="O33" s="91"/>
      <c r="P33" s="91"/>
      <c r="Q33" s="91"/>
      <c r="R33" s="91"/>
      <c r="S33" s="91"/>
      <c r="T33" s="162"/>
    </row>
    <row r="34" spans="1:20" ht="13.5" customHeight="1">
      <c r="A34" s="151"/>
      <c r="B34" s="102" t="s">
        <v>94</v>
      </c>
      <c r="C34" s="93"/>
      <c r="D34" s="94"/>
      <c r="E34" s="95"/>
      <c r="F34" s="77"/>
      <c r="G34" s="77"/>
      <c r="H34" s="77"/>
      <c r="I34" s="77"/>
      <c r="J34" s="77"/>
      <c r="K34" s="77"/>
      <c r="L34" s="77"/>
      <c r="M34" s="77"/>
      <c r="N34" s="77"/>
      <c r="O34" s="77"/>
      <c r="P34" s="77"/>
      <c r="Q34" s="77"/>
      <c r="R34" s="77"/>
      <c r="S34" s="77"/>
      <c r="T34" s="160"/>
    </row>
    <row r="35" spans="1:20" ht="13.5" customHeight="1">
      <c r="A35" s="151"/>
      <c r="B35" s="102"/>
      <c r="C35" s="93"/>
      <c r="D35" s="94" t="s">
        <v>95</v>
      </c>
      <c r="E35" s="95"/>
      <c r="F35" s="77" t="s">
        <v>97</v>
      </c>
      <c r="G35" s="77"/>
      <c r="H35" s="77" t="s">
        <v>97</v>
      </c>
      <c r="I35" s="77"/>
      <c r="J35" s="77"/>
      <c r="K35" s="77" t="s">
        <v>97</v>
      </c>
      <c r="L35" s="77"/>
      <c r="M35" s="77"/>
      <c r="N35" s="77"/>
      <c r="O35" s="77"/>
      <c r="P35" s="77"/>
      <c r="Q35" s="77"/>
      <c r="R35" s="77"/>
      <c r="S35" s="77"/>
      <c r="T35" s="160"/>
    </row>
    <row r="36" spans="1:20" ht="13.5" customHeight="1">
      <c r="A36" s="151"/>
      <c r="B36" s="102"/>
      <c r="C36" s="93"/>
      <c r="D36" s="94" t="s">
        <v>96</v>
      </c>
      <c r="E36" s="95"/>
      <c r="F36" s="77"/>
      <c r="G36" s="77" t="s">
        <v>97</v>
      </c>
      <c r="H36" s="77"/>
      <c r="I36" s="77"/>
      <c r="J36" s="77"/>
      <c r="K36" s="77"/>
      <c r="L36" s="77"/>
      <c r="M36" s="77"/>
      <c r="N36" s="77"/>
      <c r="O36" s="77"/>
      <c r="P36" s="77"/>
      <c r="Q36" s="77"/>
      <c r="R36" s="77"/>
      <c r="S36" s="77"/>
      <c r="T36" s="160"/>
    </row>
    <row r="37" spans="1:20" ht="13.5" customHeight="1">
      <c r="A37" s="151"/>
      <c r="B37" s="102"/>
      <c r="C37" s="93"/>
      <c r="D37" s="94" t="s">
        <v>99</v>
      </c>
      <c r="E37" s="95"/>
      <c r="F37" s="77"/>
      <c r="G37" s="77"/>
      <c r="H37" s="77"/>
      <c r="I37" s="77" t="s">
        <v>97</v>
      </c>
      <c r="J37" s="77"/>
      <c r="K37" s="77"/>
      <c r="L37" s="77"/>
      <c r="M37" s="77"/>
      <c r="N37" s="77"/>
      <c r="O37" s="77"/>
      <c r="P37" s="77"/>
      <c r="Q37" s="77"/>
      <c r="R37" s="77"/>
      <c r="S37" s="77"/>
      <c r="T37" s="160"/>
    </row>
    <row r="38" spans="1:20" ht="13.5" customHeight="1">
      <c r="A38" s="151"/>
      <c r="B38" s="102"/>
      <c r="C38" s="93"/>
      <c r="D38" s="94" t="s">
        <v>100</v>
      </c>
      <c r="E38" s="95"/>
      <c r="F38" s="77"/>
      <c r="G38" s="77"/>
      <c r="H38" s="77"/>
      <c r="I38" s="77"/>
      <c r="J38" s="77" t="s">
        <v>97</v>
      </c>
      <c r="K38" s="77"/>
      <c r="L38" s="77"/>
      <c r="M38" s="77"/>
      <c r="N38" s="77"/>
      <c r="O38" s="77"/>
      <c r="P38" s="77"/>
      <c r="Q38" s="77"/>
      <c r="R38" s="77"/>
      <c r="S38" s="77"/>
      <c r="T38" s="160"/>
    </row>
    <row r="39" spans="1:20" ht="13.5" customHeight="1">
      <c r="A39" s="151"/>
      <c r="B39" s="92"/>
      <c r="C39" s="96"/>
      <c r="D39" s="94" t="s">
        <v>101</v>
      </c>
      <c r="E39" s="97"/>
      <c r="F39" s="77"/>
      <c r="G39" s="77"/>
      <c r="H39" s="77"/>
      <c r="I39" s="77"/>
      <c r="J39" s="77"/>
      <c r="K39" s="77"/>
      <c r="L39" s="77" t="s">
        <v>97</v>
      </c>
      <c r="M39" s="77"/>
      <c r="N39" s="77"/>
      <c r="O39" s="77"/>
      <c r="P39" s="77"/>
      <c r="Q39" s="77"/>
      <c r="R39" s="77"/>
      <c r="S39" s="77"/>
      <c r="T39" s="160"/>
    </row>
    <row r="40" spans="1:20" ht="13.5" customHeight="1">
      <c r="A40" s="151"/>
      <c r="B40" s="92" t="s">
        <v>71</v>
      </c>
      <c r="C40" s="96"/>
      <c r="D40" s="94"/>
      <c r="E40" s="97"/>
      <c r="F40" s="77"/>
      <c r="G40" s="77"/>
      <c r="H40" s="77"/>
      <c r="I40" s="77"/>
      <c r="J40" s="77"/>
      <c r="K40" s="77"/>
      <c r="L40" s="77"/>
      <c r="M40" s="77"/>
      <c r="N40" s="77"/>
      <c r="O40" s="77"/>
      <c r="P40" s="77"/>
      <c r="Q40" s="77"/>
      <c r="R40" s="77"/>
      <c r="S40" s="77"/>
      <c r="T40" s="160"/>
    </row>
    <row r="41" spans="1:20" ht="13.5" customHeight="1">
      <c r="A41" s="151"/>
      <c r="B41" s="92"/>
      <c r="C41" s="96"/>
      <c r="D41" s="94"/>
      <c r="E41" s="97"/>
      <c r="F41" s="77"/>
      <c r="G41" s="77"/>
      <c r="H41" s="77"/>
      <c r="I41" s="77"/>
      <c r="J41" s="77"/>
      <c r="K41" s="77"/>
      <c r="L41" s="77"/>
      <c r="M41" s="77"/>
      <c r="N41" s="77"/>
      <c r="O41" s="77"/>
      <c r="P41" s="77"/>
      <c r="Q41" s="77"/>
      <c r="R41" s="77"/>
      <c r="S41" s="77"/>
      <c r="T41" s="160"/>
    </row>
    <row r="42" spans="1:20" ht="13.5" customHeight="1">
      <c r="A42" s="151"/>
      <c r="B42" s="92" t="s">
        <v>72</v>
      </c>
      <c r="C42" s="96"/>
      <c r="D42" s="94"/>
      <c r="E42" s="97"/>
      <c r="F42" s="77"/>
      <c r="G42" s="77"/>
      <c r="H42" s="77"/>
      <c r="I42" s="77"/>
      <c r="J42" s="77"/>
      <c r="K42" s="77"/>
      <c r="L42" s="77"/>
      <c r="M42" s="77"/>
      <c r="N42" s="77"/>
      <c r="O42" s="77"/>
      <c r="P42" s="77"/>
      <c r="Q42" s="77"/>
      <c r="R42" s="77"/>
      <c r="S42" s="77"/>
      <c r="T42" s="160"/>
    </row>
    <row r="43" spans="1:20" ht="13.5" customHeight="1">
      <c r="A43" s="151"/>
      <c r="B43" s="92"/>
      <c r="C43" s="96"/>
      <c r="D43" s="94" t="s">
        <v>98</v>
      </c>
      <c r="E43" s="97"/>
      <c r="F43" s="77" t="s">
        <v>97</v>
      </c>
      <c r="G43" s="77"/>
      <c r="H43" s="77"/>
      <c r="I43" s="77"/>
      <c r="J43" s="77"/>
      <c r="K43" s="77"/>
      <c r="L43" s="77"/>
      <c r="M43" s="77"/>
      <c r="N43" s="77"/>
      <c r="O43" s="77"/>
      <c r="P43" s="77"/>
      <c r="Q43" s="77"/>
      <c r="R43" s="77"/>
      <c r="S43" s="77"/>
      <c r="T43" s="160"/>
    </row>
    <row r="44" spans="1:20" ht="13.5" customHeight="1" thickBot="1">
      <c r="A44" s="151"/>
      <c r="B44" s="125"/>
      <c r="C44" s="126"/>
      <c r="D44" s="127"/>
      <c r="E44" s="128"/>
      <c r="F44" s="157"/>
      <c r="G44" s="157"/>
      <c r="H44" s="157"/>
      <c r="I44" s="157"/>
      <c r="J44" s="157"/>
      <c r="K44" s="157"/>
      <c r="L44" s="157"/>
      <c r="M44" s="157"/>
      <c r="N44" s="157"/>
      <c r="O44" s="157"/>
      <c r="P44" s="157"/>
      <c r="Q44" s="157"/>
      <c r="R44" s="157"/>
      <c r="S44" s="157"/>
      <c r="T44" s="163"/>
    </row>
    <row r="45" spans="1:20" ht="13.5" customHeight="1" thickTop="1">
      <c r="A45" s="152" t="s">
        <v>49</v>
      </c>
      <c r="B45" s="213" t="s">
        <v>50</v>
      </c>
      <c r="C45" s="213"/>
      <c r="D45" s="213"/>
      <c r="E45" s="130"/>
      <c r="F45" s="158" t="s">
        <v>53</v>
      </c>
      <c r="G45" s="158" t="s">
        <v>51</v>
      </c>
      <c r="H45" s="158" t="s">
        <v>51</v>
      </c>
      <c r="I45" s="158" t="s">
        <v>51</v>
      </c>
      <c r="J45" s="158" t="s">
        <v>51</v>
      </c>
      <c r="K45" s="158" t="s">
        <v>51</v>
      </c>
      <c r="L45" s="158" t="s">
        <v>52</v>
      </c>
      <c r="M45" s="158"/>
      <c r="N45" s="158"/>
      <c r="O45" s="158"/>
      <c r="P45" s="158"/>
      <c r="Q45" s="158"/>
      <c r="R45" s="158"/>
      <c r="S45" s="158"/>
      <c r="T45" s="164"/>
    </row>
    <row r="46" spans="1:20" ht="13.5" customHeight="1">
      <c r="A46" s="144"/>
      <c r="B46" s="233" t="s">
        <v>54</v>
      </c>
      <c r="C46" s="233"/>
      <c r="D46" s="233"/>
      <c r="E46" s="99"/>
      <c r="F46" s="98"/>
      <c r="G46" s="98"/>
      <c r="H46" s="98"/>
      <c r="I46" s="98"/>
      <c r="J46" s="98"/>
      <c r="K46" s="98"/>
      <c r="L46" s="98"/>
      <c r="M46" s="98"/>
      <c r="N46" s="98"/>
      <c r="O46" s="98"/>
      <c r="P46" s="98"/>
      <c r="Q46" s="98"/>
      <c r="R46" s="98"/>
      <c r="S46" s="98"/>
      <c r="T46" s="165"/>
    </row>
    <row r="47" spans="1:20" ht="13.5" customHeight="1">
      <c r="A47" s="144"/>
      <c r="B47" s="211" t="s">
        <v>57</v>
      </c>
      <c r="C47" s="211"/>
      <c r="D47" s="211"/>
      <c r="E47" s="100"/>
      <c r="F47" s="101">
        <v>39139</v>
      </c>
      <c r="G47" s="101">
        <v>39139</v>
      </c>
      <c r="H47" s="101">
        <v>39139</v>
      </c>
      <c r="I47" s="101">
        <v>39139</v>
      </c>
      <c r="J47" s="101">
        <v>39139</v>
      </c>
      <c r="K47" s="101">
        <v>39139</v>
      </c>
      <c r="L47" s="101">
        <v>39144</v>
      </c>
      <c r="M47" s="101"/>
      <c r="N47" s="101"/>
      <c r="O47" s="101"/>
      <c r="P47" s="101"/>
      <c r="Q47" s="101"/>
      <c r="R47" s="101"/>
      <c r="S47" s="101"/>
      <c r="T47" s="146"/>
    </row>
    <row r="48" spans="1:20" ht="10.8" thickBot="1">
      <c r="A48" s="147"/>
      <c r="B48" s="212" t="s">
        <v>58</v>
      </c>
      <c r="C48" s="212"/>
      <c r="D48" s="212"/>
      <c r="E48" s="148"/>
      <c r="F48" s="149"/>
      <c r="G48" s="149"/>
      <c r="H48" s="149"/>
      <c r="I48" s="149"/>
      <c r="J48" s="149"/>
      <c r="K48" s="149"/>
      <c r="L48" s="149"/>
      <c r="M48" s="149"/>
      <c r="N48" s="149"/>
      <c r="O48" s="149"/>
      <c r="P48" s="149"/>
      <c r="Q48" s="149"/>
      <c r="R48" s="149"/>
      <c r="S48" s="149"/>
      <c r="T48" s="150"/>
    </row>
    <row r="49" spans="1:4" ht="10.8" thickTop="1">
      <c r="A49" s="69"/>
      <c r="B49" s="65"/>
      <c r="C49" s="66"/>
      <c r="D49" s="65"/>
    </row>
  </sheetData>
  <mergeCells count="28">
    <mergeCell ref="A2:B2"/>
    <mergeCell ref="C2:E2"/>
    <mergeCell ref="F2:K2"/>
    <mergeCell ref="L2:T2"/>
    <mergeCell ref="A3:B3"/>
    <mergeCell ref="C3:E3"/>
    <mergeCell ref="F3:K3"/>
    <mergeCell ref="L3:N3"/>
    <mergeCell ref="A4:B4"/>
    <mergeCell ref="C4:D4"/>
    <mergeCell ref="F4:K4"/>
    <mergeCell ref="L4:T4"/>
    <mergeCell ref="A5:B5"/>
    <mergeCell ref="C5:T5"/>
    <mergeCell ref="F6:K6"/>
    <mergeCell ref="L6:N6"/>
    <mergeCell ref="O6:T6"/>
    <mergeCell ref="A7:B7"/>
    <mergeCell ref="C7:E7"/>
    <mergeCell ref="F7:K7"/>
    <mergeCell ref="O7:T7"/>
    <mergeCell ref="B48:D48"/>
    <mergeCell ref="D20:E20"/>
    <mergeCell ref="B45:D45"/>
    <mergeCell ref="B46:D46"/>
    <mergeCell ref="B47:D47"/>
    <mergeCell ref="A6:B6"/>
    <mergeCell ref="C6:E6"/>
  </mergeCells>
  <phoneticPr fontId="40"/>
  <dataValidations count="3">
    <dataValidation type="list" allowBlank="1" showInputMessage="1" showErrorMessage="1" sqref="F46:T46" xr:uid="{87A3CB21-CC31-474E-8761-0EC189F11489}">
      <formula1>"P,F, "</formula1>
    </dataValidation>
    <dataValidation type="list" allowBlank="1" showInputMessage="1" showErrorMessage="1" sqref="F45:T45" xr:uid="{86FFCFA8-23C1-4EB9-A778-C0B0FCA0AA04}">
      <formula1>"N,A,B, "</formula1>
    </dataValidation>
    <dataValidation type="list" allowBlank="1" showInputMessage="1" showErrorMessage="1" sqref="F10:T44" xr:uid="{DA23F9C9-554E-420F-BC1B-9836047B9307}">
      <formula1>"O, "</formula1>
    </dataValidation>
  </dataValidations>
  <pageMargins left="0.75" right="0.75" top="0.75" bottom="0.75" header="0.5" footer="0.5"/>
  <pageSetup orientation="portrait"/>
  <headerFooter alignWithMargins="0">
    <oddFooter>&amp;L&amp;"Tahoma,Regular"&amp;10 02ae-BM/PM/HDCV/FSOFT v2/1&amp;C&amp;"Tahoma,Regular"&amp;10Internal use&amp;R&amp;"Tahoma,Regular"&amp;10&amp;P/&amp;N</oddFooter>
  </headerFooter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2</vt:i4>
      </vt:variant>
    </vt:vector>
  </HeadingPairs>
  <TitlesOfParts>
    <vt:vector size="7" baseType="lpstr">
      <vt:lpstr>Cover</vt:lpstr>
      <vt:lpstr>FunctionList</vt:lpstr>
      <vt:lpstr>Function1_Đăng nhập</vt:lpstr>
      <vt:lpstr>ViewOwnProfile</vt:lpstr>
      <vt:lpstr>Example</vt:lpstr>
      <vt:lpstr>'Function1_Đăng nhập'!Print_Area</vt:lpstr>
      <vt:lpstr>FunctionList!Print_Area</vt:lpstr>
    </vt:vector>
  </TitlesOfParts>
  <Company>FPT-Software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Nguyen Hoang Anh</dc:creator>
  <cp:lastModifiedBy>Ho Phuc</cp:lastModifiedBy>
  <cp:lastPrinted>2008-03-12T04:05:49Z</cp:lastPrinted>
  <dcterms:created xsi:type="dcterms:W3CDTF">2007-10-09T09:39:48Z</dcterms:created>
  <dcterms:modified xsi:type="dcterms:W3CDTF">2026-10-31T10:06:06Z</dcterms:modified>
</cp:coreProperties>
</file>